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DatosPlanta" state="visible" r:id="rId5"/>
    <sheet sheetId="3" name="IGF Diario San Luis" state="visible" r:id="rId6"/>
    <sheet sheetId="4" name="Provincia Venta Diaria" state="visible" r:id="rId7"/>
    <sheet sheetId="5" name="Provincia Comisiones" state="visible" r:id="rId8"/>
    <sheet sheetId="6" name="PRECIO" state="visible" r:id="rId9"/>
    <sheet sheetId="7" name="CONTROL DE COMPRAS" state="visible" r:id="rId10"/>
    <sheet sheetId="8" name="Pronostico" state="visible" r:id="rId11"/>
    <sheet sheetId="9" name="IGF Forecast" state="visible" r:id="rId12"/>
    <sheet sheetId="10" name="Enero" state="visible" r:id="rId13"/>
    <sheet sheetId="11" name="Febrero" state="visible" r:id="rId14"/>
    <sheet sheetId="12" name="Marzo" state="visible" r:id="rId15"/>
    <sheet sheetId="13" name="Abril" state="visible" r:id="rId16"/>
    <sheet sheetId="14" name="Mayo" state="visible" r:id="rId17"/>
    <sheet sheetId="15" name="Clientes desc mes" state="visible" r:id="rId18"/>
    <sheet sheetId="16" name="Clientes desc Enero" state="visible" r:id="rId19"/>
    <sheet sheetId="17" name="Clientes desc Febrero" state="visible" r:id="rId20"/>
    <sheet sheetId="18" name="Clientes desc Marzo" state="visible" r:id="rId21"/>
    <sheet sheetId="19" name="Clientes desc Abril" state="visible" r:id="rId22"/>
    <sheet sheetId="20" name="Clientes desc Mayo" state="visible" r:id="rId23"/>
    <sheet sheetId="21" name="Clientes desc Junio" state="visible" r:id="rId24"/>
    <sheet sheetId="22" name="Clientes desc Julio" state="visible" r:id="rId25"/>
    <sheet sheetId="23" name="Clientes desc Agosto" state="visible" r:id="rId26"/>
    <sheet sheetId="24" name="Clientes desc Septiembre" state="visible" r:id="rId27"/>
  </sheets>
  <calcPr calcId="171027"/>
</workbook>
</file>

<file path=xl/sharedStrings.xml><?xml version="1.0" encoding="utf-8"?>
<sst xmlns="http://schemas.openxmlformats.org/spreadsheetml/2006/main" count="495" uniqueCount="195">
  <si>
    <t>IGF DIARIO SEMANAL · SAN LUIS</t>
  </si>
  <si>
    <t>SEMANA 41 · 04/10/2026–10/10/2026</t>
  </si>
  <si>
    <t>Concepto</t>
  </si>
  <si>
    <t>Semana</t>
  </si>
  <si>
    <t>Dom 04/10</t>
  </si>
  <si>
    <t>Venta en Kilos</t>
  </si>
  <si>
    <t>—</t>
  </si>
  <si>
    <t>Precio de Venta al Público</t>
  </si>
  <si>
    <t>Ingreso Generado</t>
  </si>
  <si>
    <t>Costo del Gas LP</t>
  </si>
  <si>
    <t>Flete Terrestre</t>
  </si>
  <si>
    <t>Margen Bruto</t>
  </si>
  <si>
    <t>Gasto Corporativo</t>
  </si>
  <si>
    <t>Inversiones</t>
  </si>
  <si>
    <t>Impuestos Federales</t>
  </si>
  <si>
    <t>Margen Neto</t>
  </si>
  <si>
    <t>Presupuesto Nómina/Gastos</t>
  </si>
  <si>
    <t>Presupuesto IMSS/SUA</t>
  </si>
  <si>
    <t>Extraordinarios</t>
  </si>
  <si>
    <t>Provisiones de la Planta</t>
  </si>
  <si>
    <t>Sobrante de Operación antes del HG</t>
  </si>
  <si>
    <t>HG</t>
  </si>
  <si>
    <t>Sobrante de Operación con el HG</t>
  </si>
  <si>
    <t>Comisiones y Descuentos</t>
  </si>
  <si>
    <t>RESULTADO ($/kg)</t>
  </si>
  <si>
    <t>RESULTADO (Importe)</t>
  </si>
  <si>
    <t>VENTA</t>
  </si>
  <si>
    <t>CASA</t>
  </si>
  <si>
    <t>COMISIONISTA</t>
  </si>
  <si>
    <t>PRECIO</t>
  </si>
  <si>
    <t>PEMEX TUXPAN</t>
  </si>
  <si>
    <t>TOMZA TUXPAN</t>
  </si>
  <si>
    <t>TOMZA TEPEJI</t>
  </si>
  <si>
    <t>FLETE (TARIFA)</t>
  </si>
  <si>
    <t>DESCUENTOS</t>
  </si>
  <si>
    <t>Fecha</t>
  </si>
  <si>
    <t>Venta Total (kg)</t>
  </si>
  <si>
    <t>Portátil (kg)</t>
  </si>
  <si>
    <t>Autotanque (kg)</t>
  </si>
  <si>
    <t>Carburación (kg)</t>
  </si>
  <si>
    <t>Total CASA (kg)</t>
  </si>
  <si>
    <t>Total COMISIONISTA (kg)</t>
  </si>
  <si>
    <t>PRECIO ($/kg)</t>
  </si>
  <si>
    <t>Subsidio ($)</t>
  </si>
  <si>
    <t>COMPRA KG</t>
  </si>
  <si>
    <t>COSTO KG</t>
  </si>
  <si>
    <t>CIRCULAR</t>
  </si>
  <si>
    <t>HG Kilos</t>
  </si>
  <si>
    <t>Descuento CASA ($)</t>
  </si>
  <si>
    <t>Descuento COMISIONISTA ($)</t>
  </si>
  <si>
    <t>IGF DIARIO</t>
  </si>
  <si>
    <t>PLANTA SAN LUIS</t>
  </si>
  <si>
    <t>OCTUBRE</t>
  </si>
  <si>
    <t>FECHA</t>
  </si>
  <si>
    <t>VENTA E INGRESO</t>
  </si>
  <si>
    <t>COSTO DEL GAS (COSTO Y FLETE)</t>
  </si>
  <si>
    <t>GASTOS CORPORATIVOS</t>
  </si>
  <si>
    <t>MARGEN NETO</t>
  </si>
  <si>
    <t>GASTOS OPERATIVOS</t>
  </si>
  <si>
    <t>SOBRANTE OPERACIÓN</t>
  </si>
  <si>
    <t>C&amp;D</t>
  </si>
  <si>
    <t>RESULTADO</t>
  </si>
  <si>
    <t>COMENTARIO DEL DIA</t>
  </si>
  <si>
    <t>VENTAS</t>
  </si>
  <si>
    <t>VENTA KG</t>
  </si>
  <si>
    <t>INGRESO</t>
  </si>
  <si>
    <t>FLETE KG</t>
  </si>
  <si>
    <t>MARGEN BRUTO</t>
  </si>
  <si>
    <t>IMPORTE</t>
  </si>
  <si>
    <t>IMPORTE HG</t>
  </si>
  <si>
    <t>IMPORTE HG POR KG</t>
  </si>
  <si>
    <t>RESULTADO POR KG</t>
  </si>
  <si>
    <t>Semana 40</t>
  </si>
  <si>
    <t>Semana 41</t>
  </si>
  <si>
    <t>Semana 42</t>
  </si>
  <si>
    <t>Semana 43</t>
  </si>
  <si>
    <t>Semana 44</t>
  </si>
  <si>
    <t>TOTAL MES</t>
  </si>
  <si>
    <t>DÍA</t>
  </si>
  <si>
    <t>San Luis</t>
  </si>
  <si>
    <t xml:space="preserve">San Luis
CASA</t>
  </si>
  <si>
    <t xml:space="preserve">San Luis
COMISIONISTA</t>
  </si>
  <si>
    <t>ACUM</t>
  </si>
  <si>
    <t>PROM</t>
  </si>
  <si>
    <t>PROY</t>
  </si>
  <si>
    <t>Comp</t>
  </si>
  <si>
    <t>Dif Comp</t>
  </si>
  <si>
    <t>CONTROL DE COMPRAS</t>
  </si>
  <si>
    <t>MES</t>
  </si>
  <si>
    <t>TARIFA 1.23</t>
  </si>
  <si>
    <t>VALOR DEL FLETE SEGÚN ORIGEN</t>
  </si>
  <si>
    <t>CONSOLIDADO</t>
  </si>
  <si>
    <t>HG EN KILOS</t>
  </si>
  <si>
    <t>COSTO</t>
  </si>
  <si>
    <t>TARIFA</t>
  </si>
  <si>
    <t>San Luis — venta (ton) 2026-10</t>
  </si>
  <si>
    <t>San Luis — descuento ($/kg) 2026-10</t>
  </si>
  <si>
    <t>Semana (año)</t>
  </si>
  <si>
    <t>Lun</t>
  </si>
  <si>
    <t>Mar</t>
  </si>
  <si>
    <t>Mié</t>
  </si>
  <si>
    <t>Jue</t>
  </si>
  <si>
    <t>Vie</t>
  </si>
  <si>
    <t>Sáb</t>
  </si>
  <si>
    <t>Dom</t>
  </si>
  <si>
    <t>Total semana</t>
  </si>
  <si>
    <t>Desc /kg</t>
  </si>
  <si>
    <t>Semana 38 (14/09–20/09)</t>
  </si>
  <si>
    <t>Semana 39 (21/09–27/09)</t>
  </si>
  <si>
    <t>Semana 40 (28/09–04/10)</t>
  </si>
  <si>
    <t>Semana 41 (05/10–11/10)</t>
  </si>
  <si>
    <t>Semana 42 (12/10–18/10)</t>
  </si>
  <si>
    <t>Semana 43 (19/10–25/10)</t>
  </si>
  <si>
    <t>Semana 44 (26/10–01/11)</t>
  </si>
  <si>
    <t>PROM mes (por día de semana)</t>
  </si>
  <si>
    <t>TOTAL mes (por día de semana)</t>
  </si>
  <si>
    <t>POR COMPRAR</t>
  </si>
  <si>
    <t>OCTUBRE, 2026</t>
  </si>
  <si>
    <t>Empresa</t>
  </si>
  <si>
    <t>Venta y margen</t>
  </si>
  <si>
    <t>Forecast ARR</t>
  </si>
  <si>
    <t>Impuestos</t>
  </si>
  <si>
    <t>Planta</t>
  </si>
  <si>
    <t>Utilidad operación</t>
  </si>
  <si>
    <t>Corporativo</t>
  </si>
  <si>
    <t>Resultado</t>
  </si>
  <si>
    <t>Venta (ton)</t>
  </si>
  <si>
    <t>Margen ($/kg)</t>
  </si>
  <si>
    <t>Com. y Desc. ($/kg)</t>
  </si>
  <si>
    <t>Presupuesto ($/kg)</t>
  </si>
  <si>
    <t>Folios Aprob. ZP ($/kg)</t>
  </si>
  <si>
    <t>Folios carro ($/kg)</t>
  </si>
  <si>
    <t>Impuesto ($/kg)</t>
  </si>
  <si>
    <t>HG (%)</t>
  </si>
  <si>
    <t>HG ($/kg)</t>
  </si>
  <si>
    <t>Bancos Planta</t>
  </si>
  <si>
    <t>Prov. Planta</t>
  </si>
  <si>
    <t>Util. Oper. ($/kg)</t>
  </si>
  <si>
    <t>Util. Oper. (Importe)</t>
  </si>
  <si>
    <t>Gtos/Apoyos Corp</t>
  </si>
  <si>
    <t>Bancos Corp.</t>
  </si>
  <si>
    <t>Otros Programas</t>
  </si>
  <si>
    <t>Resultado ($/kg)</t>
  </si>
  <si>
    <t>Resultado (Importe)</t>
  </si>
  <si>
    <t>GTM San Luis</t>
  </si>
  <si>
    <t>Zona Provincia</t>
  </si>
  <si>
    <t>Real por categoría y subcategoría (venta kg y descuento $, sin proyección)</t>
  </si>
  <si>
    <t>Mes: 2026-01 (mes completo)</t>
  </si>
  <si>
    <t>Periodo: 2026-01-01 a 2026-01-31 · Fuente: BD (arr)</t>
  </si>
  <si>
    <t>Regla: SUM(kg) y SUM(monto descuento) por planta/categoría/subcategoría en el rango; descuentos asignados con arr.cliente_categoria_mes del mes correspondiente.</t>
  </si>
  <si>
    <t>Categoría</t>
  </si>
  <si>
    <t>Subcategoría</t>
  </si>
  <si>
    <t>Kg Acumulado</t>
  </si>
  <si>
    <t>Descuento $ Acumulado</t>
  </si>
  <si>
    <t>Desc $/kg Acumulado</t>
  </si>
  <si>
    <t>Mes: 2026-02 (mes completo)</t>
  </si>
  <si>
    <t>Periodo: 2026-02-01 a 2026-02-28 · Fuente: BD (arr)</t>
  </si>
  <si>
    <t>Mes: 2026-03 (mes completo)</t>
  </si>
  <si>
    <t>Periodo: 2026-03-01 a 2026-03-31 · Fuente: BD (arr)</t>
  </si>
  <si>
    <t>Mes: 2026-04 (mes completo)</t>
  </si>
  <si>
    <t>Periodo: 2026-04-01 a 2026-04-30 · Fuente: BD (arr)</t>
  </si>
  <si>
    <t>Mes: 2026-05 (mes completo)</t>
  </si>
  <si>
    <t>Periodo: 2026-05-01 a 2026-05-31 · Fuente: BD (arr)</t>
  </si>
  <si>
    <t>Clientes por planta — descuento del mes ($/kg)</t>
  </si>
  <si>
    <t>2026-10</t>
  </si>
  <si>
    <t>Filtro planta: San Luis</t>
  </si>
  <si>
    <t>Descuento $/kg = |SUM(descuento MXN)| / SUM(kg) del mes (calendario).</t>
  </si>
  <si>
    <t>Kg mes (proyectado) = kg real × factor por planta. Factor = total forecast mensual (objetivo, mismo que Proy cat-sub Forecast para 2026-10) / Σ kg real clientes de esa planta. Referencia corte: 2026-10-12.</t>
  </si>
  <si>
    <t>Estatus vs mes anterior: Nuevo, Dejó de comprar, Aumentó, Disminuyó, Sin cambio (comparación de kg del mes calendario).</t>
  </si>
  <si>
    <t>Cliente</t>
  </si>
  <si>
    <t>Kg mes (real)</t>
  </si>
  <si>
    <t>Kg mes (proyectado)</t>
  </si>
  <si>
    <t>Descuento MXN mes</t>
  </si>
  <si>
    <t>Descuento $/kg mes</t>
  </si>
  <si>
    <t>Estatus</t>
  </si>
  <si>
    <t>(sin datos)</t>
  </si>
  <si>
    <t>Clientes por planta — descuento del mes ($/kg) — mes histórico (real)</t>
  </si>
  <si>
    <t>2026-01</t>
  </si>
  <si>
    <t>Kg mes (real) = SUM(kg) en arr.ventas_diarias_cliente del mes calendario 2026-01 (mes ya concluido, sin proyección).</t>
  </si>
  <si>
    <t>2026-02</t>
  </si>
  <si>
    <t>Kg mes (real) = SUM(kg) en arr.ventas_diarias_cliente del mes calendario 2026-02 (mes ya concluido, sin proyección).</t>
  </si>
  <si>
    <t>2026-03</t>
  </si>
  <si>
    <t>Kg mes (real) = SUM(kg) en arr.ventas_diarias_cliente del mes calendario 2026-03 (mes ya concluido, sin proyección).</t>
  </si>
  <si>
    <t>2026-04</t>
  </si>
  <si>
    <t>Kg mes (real) = SUM(kg) en arr.ventas_diarias_cliente del mes calendario 2026-04 (mes ya concluido, sin proyección).</t>
  </si>
  <si>
    <t>2026-05</t>
  </si>
  <si>
    <t>Kg mes (real) = SUM(kg) en arr.ventas_diarias_cliente del mes calendario 2026-05 (mes ya concluido, sin proyección).</t>
  </si>
  <si>
    <t>2026-06</t>
  </si>
  <si>
    <t>Kg mes (real) = SUM(kg) en arr.ventas_diarias_cliente del mes calendario 2026-06 (mes ya concluido, sin proyección).</t>
  </si>
  <si>
    <t>2026-07</t>
  </si>
  <si>
    <t>Kg mes (real) = SUM(kg) en arr.ventas_diarias_cliente del mes calendario 2026-07 (mes ya concluido, sin proyección).</t>
  </si>
  <si>
    <t>2026-08</t>
  </si>
  <si>
    <t>Kg mes (real) = SUM(kg) en arr.ventas_diarias_cliente del mes calendario 2026-08 (mes ya concluido, sin proyección).</t>
  </si>
  <si>
    <t>2026-09</t>
  </si>
  <si>
    <t>Kg mes (real) = SUM(kg) en arr.ventas_diarias_cliente del mes calendario 2026-09 (mes ya concluido, sin proyección).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</si>
</sst>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&quot;Semana &quot;0"/>
    <numFmt numFmtId="165" formatCode="dd/mm/yyyy"/>
    <numFmt numFmtId="166" formatCode="0.00000000"/>
    <numFmt numFmtId="167" formatCode="#,##0.000"/>
    <numFmt numFmtId="168" formatCode="0.000"/>
    <numFmt numFmtId="169" formatCode="#,##0;[Red]-#,##0"/>
    <numFmt numFmtId="170" formatCode="#,##0.00;[Red]-#,##0.00"/>
    <numFmt numFmtId="171" formatCode="&quot;$&quot;#,##0.00;[Red]-&quot;$&quot;#,##0.00"/>
    <numFmt numFmtId="172" formatCode="dd-mmm"/>
    <numFmt numFmtId="173" formatCode="#,##0.0"/>
    <numFmt numFmtId="174" formatCode="&quot;$&quot;#,##0.00"/>
    <numFmt numFmtId="175" formatCode="&quot;$&quot;#,##0;[Red]&quot;$&quot;#,##0"/>
  </numFmts>
  <fonts count="31" x14ac:knownFonts="1">
    <font>
      <color theme="1"/>
      <family val="2"/>
      <scheme val="minor"/>
      <sz val="11"/>
      <name val="Calibri"/>
    </font>
    <font>
      <b/>
      <color rgb="FF0F172A"/>
      <sz val="16"/>
    </font>
    <font>
      <b/>
      <color rgb="FF334155"/>
      <sz val="12"/>
    </font>
    <font>
      <b/>
      <color rgb="FFF8FAFC"/>
    </font>
    <font>
      <b/>
      <color rgb="FF0F172A"/>
    </font>
    <font>
      <color rgb="FF64748B"/>
    </font>
    <font>
      <b/>
      <color rgb="FF15803D"/>
    </font>
    <font>
      <b/>
      <color rgb="FF000000"/>
      <sz val="11"/>
      <name val="Calibri"/>
    </font>
    <font>
      <b/>
      <color rgb="FF000000"/>
      <sz val="9"/>
      <name val="Calibri"/>
    </font>
    <font>
      <color rgb="FF000000"/>
      <sz val="10"/>
      <name val="Calibri"/>
    </font>
    <font>
      <b/>
      <color rgb="FF000000"/>
      <sz val="20"/>
      <name val="Calibri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color rgb="FF000000"/>
      <sz val="10"/>
      <name val="Calibri"/>
    </font>
    <font>
      <b/>
      <color rgb="FFFFFFFF"/>
      <sz val="10"/>
      <name val="Calibri"/>
    </font>
    <font>
      <sz val="11"/>
      <name val="Calibri"/>
    </font>
    <font>
      <b/>
      <color rgb="FFFFFFFF"/>
      <sz val="11"/>
      <name val="Calibri"/>
    </font>
    <font>
      <b/>
      <color rgb="FFFFFFFF"/>
      <sz val="11"/>
    </font>
    <font>
      <sz val="10"/>
      <name val="Calibri"/>
    </font>
    <font>
      <b/>
    </font>
    <font>
      <b/>
      <sz val="8"/>
      <name val="Calibri"/>
    </font>
    <font>
      <b/>
      <color rgb="FFFFFFFF"/>
      <sz val="9"/>
      <name val="Calibri"/>
    </font>
    <font>
      <b/>
      <color rgb="FFFFFFFF"/>
      <sz val="8"/>
      <name val="Calibri"/>
    </font>
    <font>
      <b/>
      <sz val="9"/>
      <name val="Calibri"/>
    </font>
    <font>
      <color rgb="FF000000"/>
      <sz val="9"/>
      <name val="Calibri"/>
    </font>
    <font>
      <b/>
      <color rgb="FFFFFFFF"/>
      <sz val="12"/>
    </font>
    <font>
      <color rgb="FF000000"/>
      <sz val="11"/>
    </font>
    <font>
      <b/>
      <color rgb="FF000000"/>
      <sz val="11"/>
    </font>
    <font>
      <b/>
      <color rgb="FF000000"/>
      <sz val="12"/>
    </font>
    <font>
      <b/>
      <color rgb="FF1F2937"/>
      <sz val="12"/>
    </font>
  </fonts>
  <fills count="2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F172A"/>
      </patternFill>
    </fill>
    <fill>
      <patternFill patternType="solid">
        <fgColor rgb="FFFDE68A"/>
      </patternFill>
    </fill>
    <fill>
      <patternFill patternType="solid">
        <fgColor rgb="FFF8FAFC"/>
      </patternFill>
    </fill>
    <fill>
      <patternFill patternType="solid">
        <fgColor rgb="FFFFFBEB"/>
      </patternFill>
    </fill>
    <fill>
      <patternFill patternType="solid">
        <fgColor rgb="FFFFFFFF"/>
      </patternFill>
    </fill>
    <fill>
      <patternFill patternType="solid">
        <fgColor rgb="FFF6C445"/>
      </patternFill>
    </fill>
    <fill>
      <patternFill patternType="solid">
        <fgColor rgb="FFF8E7A0"/>
      </patternFill>
    </fill>
    <fill>
      <patternFill patternType="solid">
        <fgColor rgb="FFFFF7D6"/>
      </patternFill>
    </fill>
    <fill>
      <patternFill patternType="solid">
        <fgColor rgb="FF2F2F2F"/>
      </patternFill>
    </fill>
    <fill>
      <patternFill patternType="solid">
        <fgColor rgb="FFB8CCE4"/>
      </patternFill>
    </fill>
    <fill>
      <patternFill patternType="solid">
        <fgColor rgb="FFDCE6F1"/>
      </patternFill>
    </fill>
    <fill>
      <patternFill patternType="solid">
        <fgColor rgb="FF95B3D7"/>
      </patternFill>
    </fill>
    <fill>
      <patternFill patternType="solid">
        <fgColor rgb="FF000000"/>
      </patternFill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2F5496"/>
      </patternFill>
    </fill>
    <fill>
      <patternFill patternType="solid">
        <fgColor rgb="FF1F4E78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A6A6A6"/>
      </patternFill>
    </fill>
    <fill>
      <patternFill patternType="solid">
        <fgColor rgb="FF7F7F7F"/>
      </patternFill>
    </fill>
    <fill>
      <patternFill patternType="solid">
        <fgColor rgb="FFE7EEF7"/>
      </patternFill>
    </fill>
  </fills>
  <borders count="5">
    <border>
      <left/>
      <right/>
      <top/>
      <bottom/>
      <diagonal/>
    </border>
    <border>
      <left/>
      <right/>
      <top style="medium">
        <color rgb="FF94A3B8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3" fillId="3" borderId="0" xfId="0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4" fillId="4" borderId="0" xfId="0" applyFont="1" applyFill="1"/>
    <xf numFmtId="0" fontId="5" fillId="5" borderId="0" xfId="0" applyFont="1" applyFill="1" applyAlignment="1">
      <alignment horizontal="right"/>
    </xf>
    <xf numFmtId="0" fontId="5" fillId="6" borderId="0" xfId="0" applyFont="1" applyFill="1" applyAlignment="1">
      <alignment horizontal="right"/>
    </xf>
    <xf numFmtId="0" fontId="4" fillId="7" borderId="1" xfId="0" applyFont="1" applyFill="1" applyBorder="1"/>
    <xf numFmtId="0" fontId="5" fillId="5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0" fillId="0" borderId="1" xfId="0" applyBorder="1"/>
    <xf numFmtId="0" fontId="4" fillId="7" borderId="0" xfId="0" applyFont="1" applyFill="1"/>
    <xf numFmtId="0" fontId="5" fillId="0" borderId="0" xfId="0" applyFont="1" applyAlignment="1">
      <alignment horizontal="right"/>
    </xf>
    <xf numFmtId="0" fontId="4" fillId="8" borderId="0" xfId="0" applyFont="1" applyFill="1"/>
    <xf numFmtId="4" fontId="6" fillId="9" borderId="0" xfId="0" applyNumberFormat="1" applyFont="1" applyFill="1" applyAlignment="1">
      <alignment horizontal="right"/>
    </xf>
    <xf numFmtId="4" fontId="6" fillId="10" borderId="0" xfId="0" applyNumberFormat="1" applyFont="1" applyFill="1" applyAlignment="1">
      <alignment horizontal="right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64" fontId="9" fillId="7" borderId="2" xfId="0" applyNumberFormat="1" applyFont="1" applyFill="1" applyBorder="1" applyAlignment="1">
      <alignment horizontal="center" vertical="center"/>
    </xf>
    <xf numFmtId="165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right" vertical="center"/>
    </xf>
    <xf numFmtId="166" fontId="9" fillId="7" borderId="2" xfId="0" applyNumberFormat="1" applyFont="1" applyFill="1" applyBorder="1" applyAlignment="1">
      <alignment horizontal="right" vertical="center"/>
    </xf>
    <xf numFmtId="2" fontId="9" fillId="7" borderId="2" xfId="0" applyNumberFormat="1" applyFont="1" applyFill="1" applyBorder="1" applyAlignment="1">
      <alignment horizontal="right" vertical="center"/>
    </xf>
    <xf numFmtId="167" fontId="9" fillId="7" borderId="2" xfId="0" applyNumberFormat="1" applyFont="1" applyFill="1" applyBorder="1" applyAlignment="1">
      <alignment horizontal="right" vertical="center"/>
    </xf>
    <xf numFmtId="168" fontId="9" fillId="7" borderId="2" xfId="0" applyNumberFormat="1" applyFont="1" applyFill="1" applyBorder="1" applyAlignment="1">
      <alignment horizontal="right" vertical="center"/>
    </xf>
    <xf numFmtId="4" fontId="9" fillId="7" borderId="2" xfId="0" applyNumberFormat="1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4" fillId="7" borderId="0" xfId="0" applyFont="1" applyFill="1"/>
    <xf numFmtId="0" fontId="14" fillId="7" borderId="3" xfId="0" applyFont="1" applyFill="1" applyBorder="1" applyAlignment="1">
      <alignment horizontal="center" vertical="center" wrapText="1"/>
    </xf>
    <xf numFmtId="0" fontId="15" fillId="11" borderId="0" xfId="0" applyFont="1" applyFill="1"/>
    <xf numFmtId="165" fontId="16" fillId="12" borderId="0" xfId="0" applyNumberFormat="1" applyFont="1" applyFill="1"/>
    <xf numFmtId="169" fontId="0" fillId="0" borderId="0" xfId="0" applyNumberFormat="1"/>
    <xf numFmtId="170" fontId="0" fillId="0" borderId="0" xfId="0" applyNumberFormat="1"/>
    <xf numFmtId="170" fontId="0" fillId="13" borderId="0" xfId="0" applyNumberFormat="1" applyFill="1"/>
    <xf numFmtId="171" fontId="0" fillId="14" borderId="0" xfId="0" applyNumberFormat="1" applyFill="1"/>
    <xf numFmtId="0" fontId="17" fillId="15" borderId="0" xfId="0" applyFont="1" applyFill="1"/>
    <xf numFmtId="169" fontId="7" fillId="16" borderId="0" xfId="0" applyNumberFormat="1" applyFont="1" applyFill="1"/>
    <xf numFmtId="170" fontId="7" fillId="16" borderId="0" xfId="0" applyNumberFormat="1" applyFont="1" applyFill="1"/>
    <xf numFmtId="0" fontId="7" fillId="16" borderId="0" xfId="0" applyFont="1" applyFill="1"/>
    <xf numFmtId="171" fontId="7" fillId="16" borderId="0" xfId="0" applyNumberFormat="1" applyFont="1" applyFill="1"/>
    <xf numFmtId="170" fontId="0" fillId="17" borderId="0" xfId="0" applyNumberFormat="1" applyFill="1"/>
    <xf numFmtId="0" fontId="18" fillId="18" borderId="2" xfId="0" applyFont="1" applyFill="1" applyBorder="1" applyAlignment="1">
      <alignment horizontal="center" vertical="center" wrapText="1"/>
    </xf>
    <xf numFmtId="0" fontId="0" fillId="13" borderId="2" xfId="0" applyFill="1" applyBorder="1"/>
    <xf numFmtId="0" fontId="0" fillId="16" borderId="2" xfId="0" applyFill="1" applyBorder="1"/>
    <xf numFmtId="167" fontId="0" fillId="13" borderId="2" xfId="0" applyNumberFormat="1" applyFill="1" applyBorder="1"/>
    <xf numFmtId="167" fontId="0" fillId="16" borderId="2" xfId="0" applyNumberFormat="1" applyFill="1" applyBorder="1"/>
    <xf numFmtId="0" fontId="0" fillId="0" borderId="2" xfId="0" applyBorder="1"/>
    <xf numFmtId="167" fontId="0" fillId="0" borderId="2" xfId="0" applyNumberFormat="1" applyBorder="1"/>
    <xf numFmtId="4" fontId="0" fillId="16" borderId="2" xfId="0" applyNumberFormat="1" applyFill="1" applyBorder="1"/>
    <xf numFmtId="0" fontId="17" fillId="19" borderId="4" xfId="0" applyFont="1" applyFill="1" applyBorder="1" applyAlignment="1">
      <alignment horizontal="center" vertical="center"/>
    </xf>
    <xf numFmtId="172" fontId="0" fillId="0" borderId="4" xfId="0" applyNumberFormat="1" applyBorder="1" applyAlignment="1">
      <alignment horizontal="center"/>
    </xf>
    <xf numFmtId="166" fontId="0" fillId="0" borderId="4" xfId="0" applyNumberFormat="1" applyBorder="1" applyAlignment="1">
      <alignment horizontal="right"/>
    </xf>
    <xf numFmtId="0" fontId="19" fillId="0" borderId="0" xfId="0" applyFont="1"/>
    <xf numFmtId="0" fontId="0" fillId="0" borderId="0" xfId="0" applyAlignment="1">
      <alignment horizontal="right"/>
    </xf>
    <xf numFmtId="0" fontId="20" fillId="0" borderId="0" xfId="0" applyFont="1" applyAlignment="1">
      <alignment horizontal="center"/>
    </xf>
    <xf numFmtId="0" fontId="21" fillId="7" borderId="3" xfId="0" applyFont="1" applyFill="1" applyBorder="1" applyAlignment="1">
      <alignment horizontal="center" vertical="center"/>
    </xf>
    <xf numFmtId="0" fontId="12" fillId="7" borderId="3" xfId="0" applyFont="1" applyFill="1" applyBorder="1" applyAlignment="1">
      <alignment horizontal="center" vertical="center"/>
    </xf>
    <xf numFmtId="0" fontId="22" fillId="11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 wrapText="1"/>
    </xf>
    <xf numFmtId="0" fontId="23" fillId="11" borderId="4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left"/>
    </xf>
    <xf numFmtId="173" fontId="24" fillId="7" borderId="4" xfId="0" applyNumberFormat="1" applyFont="1" applyFill="1" applyBorder="1" applyAlignment="1">
      <alignment horizontal="right" vertical="center"/>
    </xf>
    <xf numFmtId="168" fontId="24" fillId="7" borderId="4" xfId="0" applyNumberFormat="1" applyFont="1" applyFill="1" applyBorder="1" applyAlignment="1">
      <alignment horizontal="right" vertical="center"/>
    </xf>
    <xf numFmtId="4" fontId="24" fillId="7" borderId="4" xfId="0" applyNumberFormat="1" applyFont="1" applyFill="1" applyBorder="1" applyAlignment="1">
      <alignment horizontal="right" vertical="center"/>
    </xf>
    <xf numFmtId="168" fontId="8" fillId="7" borderId="4" xfId="0" applyNumberFormat="1" applyFont="1" applyFill="1" applyBorder="1" applyAlignment="1">
      <alignment horizontal="right" vertical="center"/>
    </xf>
    <xf numFmtId="3" fontId="8" fillId="7" borderId="4" xfId="0" applyNumberFormat="1" applyFont="1" applyFill="1" applyBorder="1" applyAlignment="1">
      <alignment horizontal="right" vertical="center"/>
    </xf>
    <xf numFmtId="4" fontId="8" fillId="7" borderId="4" xfId="0" applyNumberFormat="1" applyFont="1" applyFill="1" applyBorder="1" applyAlignment="1">
      <alignment horizontal="right" vertical="center"/>
    </xf>
    <xf numFmtId="173" fontId="25" fillId="7" borderId="4" xfId="0" applyNumberFormat="1" applyFont="1" applyFill="1" applyBorder="1" applyAlignment="1">
      <alignment horizontal="right" vertical="center"/>
    </xf>
    <xf numFmtId="2" fontId="25" fillId="7" borderId="4" xfId="0" applyNumberFormat="1" applyFont="1" applyFill="1" applyBorder="1" applyAlignment="1">
      <alignment horizontal="right" vertical="center"/>
    </xf>
    <xf numFmtId="0" fontId="26" fillId="20" borderId="4" xfId="0" applyFont="1" applyFill="1" applyBorder="1" applyAlignment="1">
      <alignment horizontal="left" vertical="center" wrapText="1"/>
    </xf>
    <xf numFmtId="0" fontId="18" fillId="20" borderId="4" xfId="0" applyFont="1" applyFill="1" applyBorder="1" applyAlignment="1">
      <alignment horizontal="center" vertical="center" wrapText="1"/>
    </xf>
    <xf numFmtId="0" fontId="27" fillId="21" borderId="4" xfId="0" applyFont="1" applyFill="1" applyBorder="1" applyAlignment="1">
      <alignment horizontal="left" vertical="center"/>
    </xf>
    <xf numFmtId="0" fontId="0" fillId="17" borderId="4" xfId="0" applyFill="1" applyBorder="1" applyAlignment="1">
      <alignment horizontal="center" vertical="center"/>
    </xf>
    <xf numFmtId="4" fontId="0" fillId="7" borderId="4" xfId="0" applyNumberForma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4" fontId="0" fillId="22" borderId="4" xfId="0" applyNumberFormat="1" applyFill="1" applyBorder="1" applyAlignment="1">
      <alignment horizontal="center" vertical="center"/>
    </xf>
    <xf numFmtId="0" fontId="28" fillId="21" borderId="4" xfId="0" applyFont="1" applyFill="1" applyBorder="1" applyAlignment="1">
      <alignment horizontal="left" vertical="center"/>
    </xf>
    <xf numFmtId="0" fontId="0" fillId="23" borderId="4" xfId="0" applyFill="1" applyBorder="1" applyAlignment="1">
      <alignment horizontal="center" vertical="center"/>
    </xf>
    <xf numFmtId="4" fontId="18" fillId="15" borderId="4" xfId="0" applyNumberFormat="1" applyFont="1" applyFill="1" applyBorder="1" applyAlignment="1">
      <alignment horizontal="center" vertical="center"/>
    </xf>
    <xf numFmtId="174" fontId="0" fillId="7" borderId="4" xfId="0" applyNumberForma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4" fontId="18" fillId="20" borderId="4" xfId="0" applyNumberFormat="1" applyFont="1" applyFill="1" applyBorder="1" applyAlignment="1">
      <alignment horizontal="center" vertical="center"/>
    </xf>
    <xf numFmtId="174" fontId="18" fillId="20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 vertical="center" wrapText="1"/>
    </xf>
    <xf numFmtId="0" fontId="18" fillId="19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 vertical="center" wrapText="1"/>
    </xf>
    <xf numFmtId="3" fontId="0" fillId="0" borderId="4" xfId="0" applyNumberFormat="1" applyBorder="1" applyAlignment="1">
      <alignment horizontal="right" vertical="center"/>
    </xf>
    <xf numFmtId="4" fontId="0" fillId="0" borderId="4" xfId="0" applyNumberFormat="1" applyBorder="1" applyAlignment="1">
      <alignment horizontal="right" vertical="center"/>
    </xf>
    <xf numFmtId="173" fontId="0" fillId="0" borderId="4" xfId="0" applyNumberFormat="1" applyBorder="1" applyAlignment="1">
      <alignment horizontal="right" vertical="center"/>
    </xf>
    <xf numFmtId="175" fontId="0" fillId="0" borderId="4" xfId="0" applyNumberFormat="1" applyBorder="1" applyAlignment="1">
      <alignment horizontal="right" vertical="center"/>
    </xf>
    <xf numFmtId="0" fontId="18" fillId="24" borderId="4" xfId="0" applyFont="1" applyFill="1" applyBorder="1" applyAlignment="1">
      <alignment horizontal="left" vertical="center"/>
    </xf>
    <xf numFmtId="3" fontId="28" fillId="7" borderId="4" xfId="0" applyNumberFormat="1" applyFont="1" applyFill="1" applyBorder="1" applyAlignment="1">
      <alignment horizontal="right" vertical="center"/>
    </xf>
    <xf numFmtId="0" fontId="30" fillId="25" borderId="0" xfId="0" applyFont="1" applyFill="1" applyAlignment="1">
      <alignment horizontal="left" vertical="center" wrapText="1"/>
    </xf>
    <xf numFmtId="4" fontId="0" fillId="0" borderId="2" xfId="0" applyNumberFormat="1" applyBorder="1"/>
    <xf numFmtId="174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31</xdr:row>
      <xdr:rowOff>0</xdr:rowOff>
    </xdr:from>
    <xdr:ext cx="6858000" cy="3429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42" customWidth="1"/>
    <col min="2" max="9" width="16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3" x14ac:dyDescent="0.25">
      <c r="A4" s="3" t="s">
        <v>2</v>
      </c>
      <c r="B4" s="4" t="s">
        <v>3</v>
      </c>
      <c r="C4" s="5" t="s">
        <v>4</v>
      </c>
    </row>
    <row r="5" spans="1:3" x14ac:dyDescent="0.25">
      <c r="A5" s="6" t="s">
        <v>5</v>
      </c>
      <c r="B5" s="7" t="s">
        <v>6</v>
      </c>
      <c r="C5" s="8" t="s">
        <v>6</v>
      </c>
    </row>
    <row r="6" spans="1:3" x14ac:dyDescent="0.25">
      <c r="A6" s="6" t="s">
        <v>7</v>
      </c>
      <c r="B6" s="7" t="s">
        <v>6</v>
      </c>
      <c r="C6" s="8" t="s">
        <v>6</v>
      </c>
    </row>
    <row r="7" spans="1:3" x14ac:dyDescent="0.25">
      <c r="A7" s="6" t="s">
        <v>8</v>
      </c>
      <c r="B7" s="7" t="s">
        <v>6</v>
      </c>
      <c r="C7" s="8" t="s">
        <v>6</v>
      </c>
    </row>
    <row r="9" spans="1:9" x14ac:dyDescent="0.25">
      <c r="A9" s="9" t="s">
        <v>9</v>
      </c>
      <c r="B9" s="10" t="s">
        <v>6</v>
      </c>
      <c r="C9" s="11" t="s">
        <v>6</v>
      </c>
      <c r="D9" s="12"/>
      <c r="E9" s="12"/>
      <c r="F9" s="12"/>
      <c r="G9" s="12"/>
      <c r="H9" s="12"/>
      <c r="I9" s="12"/>
    </row>
    <row r="10" spans="1:3" x14ac:dyDescent="0.25">
      <c r="A10" s="13" t="s">
        <v>10</v>
      </c>
      <c r="B10" s="7" t="s">
        <v>6</v>
      </c>
      <c r="C10" s="14" t="s">
        <v>6</v>
      </c>
    </row>
    <row r="11" spans="1:3" x14ac:dyDescent="0.25">
      <c r="A11" s="6" t="s">
        <v>11</v>
      </c>
      <c r="B11" s="7" t="s">
        <v>6</v>
      </c>
      <c r="C11" s="8" t="s">
        <v>6</v>
      </c>
    </row>
    <row r="13" spans="1:9" x14ac:dyDescent="0.25">
      <c r="A13" s="9" t="s">
        <v>12</v>
      </c>
      <c r="B13" s="10" t="s">
        <v>6</v>
      </c>
      <c r="C13" s="11" t="s">
        <v>6</v>
      </c>
      <c r="D13" s="12"/>
      <c r="E13" s="12"/>
      <c r="F13" s="12"/>
      <c r="G13" s="12"/>
      <c r="H13" s="12"/>
      <c r="I13" s="12"/>
    </row>
    <row r="14" spans="1:3" x14ac:dyDescent="0.25">
      <c r="A14" s="13" t="s">
        <v>13</v>
      </c>
      <c r="B14" s="7" t="s">
        <v>6</v>
      </c>
      <c r="C14" s="14" t="s">
        <v>6</v>
      </c>
    </row>
    <row r="15" spans="1:3" x14ac:dyDescent="0.25">
      <c r="A15" s="13" t="s">
        <v>14</v>
      </c>
      <c r="B15" s="7" t="s">
        <v>6</v>
      </c>
      <c r="C15" s="14" t="s">
        <v>6</v>
      </c>
    </row>
    <row r="16" spans="1:3" x14ac:dyDescent="0.25">
      <c r="A16" s="6" t="s">
        <v>15</v>
      </c>
      <c r="B16" s="7" t="s">
        <v>6</v>
      </c>
      <c r="C16" s="8" t="s">
        <v>6</v>
      </c>
    </row>
    <row r="18" spans="1:9" x14ac:dyDescent="0.25">
      <c r="A18" s="9" t="s">
        <v>16</v>
      </c>
      <c r="B18" s="10" t="s">
        <v>6</v>
      </c>
      <c r="C18" s="11" t="s">
        <v>6</v>
      </c>
      <c r="D18" s="12"/>
      <c r="E18" s="12"/>
      <c r="F18" s="12"/>
      <c r="G18" s="12"/>
      <c r="H18" s="12"/>
      <c r="I18" s="12"/>
    </row>
    <row r="19" spans="1:3" x14ac:dyDescent="0.25">
      <c r="A19" s="13" t="s">
        <v>17</v>
      </c>
      <c r="B19" s="7" t="s">
        <v>6</v>
      </c>
      <c r="C19" s="14" t="s">
        <v>6</v>
      </c>
    </row>
    <row r="20" spans="1:3" x14ac:dyDescent="0.25">
      <c r="A20" s="13" t="s">
        <v>18</v>
      </c>
      <c r="B20" s="7" t="s">
        <v>6</v>
      </c>
      <c r="C20" s="14" t="s">
        <v>6</v>
      </c>
    </row>
    <row r="21" spans="1:3" x14ac:dyDescent="0.25">
      <c r="A21" s="13" t="s">
        <v>19</v>
      </c>
      <c r="B21" s="7" t="s">
        <v>6</v>
      </c>
      <c r="C21" s="14" t="s">
        <v>6</v>
      </c>
    </row>
    <row r="22" spans="1:3" x14ac:dyDescent="0.25">
      <c r="A22" s="6" t="s">
        <v>20</v>
      </c>
      <c r="B22" s="7" t="s">
        <v>6</v>
      </c>
      <c r="C22" s="8" t="s">
        <v>6</v>
      </c>
    </row>
    <row r="24" spans="1:9" x14ac:dyDescent="0.25">
      <c r="A24" s="9" t="s">
        <v>21</v>
      </c>
      <c r="B24" s="10" t="s">
        <v>6</v>
      </c>
      <c r="C24" s="11" t="s">
        <v>6</v>
      </c>
      <c r="D24" s="12"/>
      <c r="E24" s="12"/>
      <c r="F24" s="12"/>
      <c r="G24" s="12"/>
      <c r="H24" s="12"/>
      <c r="I24" s="12"/>
    </row>
    <row r="25" spans="1:3" x14ac:dyDescent="0.25">
      <c r="A25" s="6" t="s">
        <v>22</v>
      </c>
      <c r="B25" s="7" t="s">
        <v>6</v>
      </c>
      <c r="C25" s="8" t="s">
        <v>6</v>
      </c>
    </row>
    <row r="27" spans="1:9" x14ac:dyDescent="0.25">
      <c r="A27" s="9" t="s">
        <v>23</v>
      </c>
      <c r="B27" s="10" t="s">
        <v>6</v>
      </c>
      <c r="C27" s="11" t="s">
        <v>6</v>
      </c>
      <c r="D27" s="12"/>
      <c r="E27" s="12"/>
      <c r="F27" s="12"/>
      <c r="G27" s="12"/>
      <c r="H27" s="12"/>
      <c r="I27" s="12"/>
    </row>
    <row r="28" spans="1:3" x14ac:dyDescent="0.25">
      <c r="A28" s="6" t="s">
        <v>24</v>
      </c>
      <c r="B28" s="7" t="s">
        <v>6</v>
      </c>
      <c r="C28" s="8" t="s">
        <v>6</v>
      </c>
    </row>
    <row r="29" spans="1:3" x14ac:dyDescent="0.25">
      <c r="A29" s="15" t="s">
        <v>25</v>
      </c>
      <c r="B29" s="16">
        <v>1</v>
      </c>
      <c r="C29" s="17">
        <v>1</v>
      </c>
    </row>
  </sheetData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11" width="13" customWidth="1"/>
    <col min="12" max="12" width="2.5" customWidth="1"/>
    <col min="13" max="13" width="16" customWidth="1"/>
    <col min="14" max="14" width="14" customWidth="1"/>
    <col min="15" max="15" width="2.5" customWidth="1"/>
    <col min="16" max="18" width="13" customWidth="1"/>
    <col min="19" max="19" width="2.5" customWidth="1"/>
    <col min="20" max="21" width="13" customWidth="1"/>
    <col min="22" max="22" width="2.5" customWidth="1"/>
    <col min="23" max="24" width="13" customWidth="1"/>
    <col min="25" max="25" width="2.5" customWidth="1"/>
    <col min="26" max="28" width="16" customWidth="1"/>
    <col min="29" max="29" width="2.5" customWidth="1"/>
    <col min="30" max="30" width="12" customWidth="1"/>
    <col min="31" max="31" width="2.5" customWidth="1"/>
    <col min="32" max="32" width="24" customWidth="1"/>
    <col min="33" max="33" width="28" customWidth="1"/>
  </cols>
  <sheetData>
    <row r="1" ht="22" customHeight="1" spans="1:33" x14ac:dyDescent="0.25">
      <c r="A1" s="18"/>
      <c r="B1" s="18"/>
      <c r="C1" s="18" t="s">
        <v>26</v>
      </c>
      <c r="D1" s="18" t="s">
        <v>27</v>
      </c>
      <c r="E1" s="18"/>
      <c r="F1" s="18"/>
      <c r="G1" s="18"/>
      <c r="H1" s="18" t="s">
        <v>28</v>
      </c>
      <c r="I1" s="18"/>
      <c r="J1" s="18"/>
      <c r="K1" s="18"/>
      <c r="M1" s="18" t="s">
        <v>29</v>
      </c>
      <c r="N1" s="18"/>
      <c r="P1" s="18" t="s">
        <v>30</v>
      </c>
      <c r="Q1" s="18"/>
      <c r="R1" s="18"/>
      <c r="T1" s="18" t="s">
        <v>31</v>
      </c>
      <c r="U1" s="18"/>
      <c r="W1" s="18" t="s">
        <v>32</v>
      </c>
      <c r="X1" s="18"/>
      <c r="Z1" s="18" t="s">
        <v>33</v>
      </c>
      <c r="AA1" s="18"/>
      <c r="AB1" s="18"/>
      <c r="AD1" s="18" t="s">
        <v>21</v>
      </c>
      <c r="AF1" s="18" t="s">
        <v>34</v>
      </c>
      <c r="AG1" s="18"/>
    </row>
    <row r="2" ht="32" customHeight="1" spans="1:33" x14ac:dyDescent="0.25">
      <c r="A2" s="19" t="s">
        <v>3</v>
      </c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37</v>
      </c>
      <c r="I2" s="19" t="s">
        <v>38</v>
      </c>
      <c r="J2" s="19" t="s">
        <v>39</v>
      </c>
      <c r="K2" s="19" t="s">
        <v>41</v>
      </c>
      <c r="M2" s="19" t="s">
        <v>42</v>
      </c>
      <c r="N2" s="19" t="s">
        <v>43</v>
      </c>
      <c r="P2" s="19" t="s">
        <v>44</v>
      </c>
      <c r="Q2" s="19" t="s">
        <v>45</v>
      </c>
      <c r="R2" s="19" t="s">
        <v>46</v>
      </c>
      <c r="T2" s="19" t="s">
        <v>44</v>
      </c>
      <c r="U2" s="19" t="s">
        <v>45</v>
      </c>
      <c r="W2" s="19" t="s">
        <v>44</v>
      </c>
      <c r="X2" s="19" t="s">
        <v>45</v>
      </c>
      <c r="Z2" s="19" t="s">
        <v>30</v>
      </c>
      <c r="AA2" s="19" t="s">
        <v>31</v>
      </c>
      <c r="AB2" s="19" t="s">
        <v>32</v>
      </c>
      <c r="AD2" s="19" t="s">
        <v>47</v>
      </c>
      <c r="AF2" s="19" t="s">
        <v>48</v>
      </c>
      <c r="AG2" s="19" t="s">
        <v>49</v>
      </c>
    </row>
    <row r="3" ht="18" customHeight="1" spans="1:33" x14ac:dyDescent="0.25">
      <c r="A3" s="20">
        <v>40</v>
      </c>
      <c r="B3" s="21">
        <v>46296</v>
      </c>
      <c r="C3" s="22"/>
      <c r="D3" s="22"/>
      <c r="E3" s="22"/>
      <c r="F3" s="22"/>
      <c r="G3" s="22"/>
      <c r="H3" s="22"/>
      <c r="I3" s="22"/>
      <c r="J3" s="22"/>
      <c r="K3" s="22"/>
      <c r="M3" s="23">
        <f>PRECIO!B2</f>
        <v>10.5</v>
      </c>
      <c r="N3" s="22"/>
      <c r="P3" s="22"/>
      <c r="Q3" s="22"/>
      <c r="R3" s="22"/>
      <c r="T3" s="22"/>
      <c r="U3" s="22"/>
      <c r="W3" s="22"/>
      <c r="X3" s="22"/>
      <c r="Z3" s="24">
        <v>1.23</v>
      </c>
      <c r="AA3" s="22"/>
      <c r="AB3" s="22"/>
      <c r="AD3" s="22"/>
      <c r="AF3" s="22"/>
      <c r="AG3" s="22"/>
    </row>
    <row r="4" ht="18" customHeight="1" spans="1:33" x14ac:dyDescent="0.25">
      <c r="A4" s="20">
        <v>40</v>
      </c>
      <c r="B4" s="21">
        <v>46297</v>
      </c>
      <c r="C4" s="22"/>
      <c r="D4" s="22"/>
      <c r="E4" s="22"/>
      <c r="F4" s="22"/>
      <c r="G4" s="22"/>
      <c r="H4" s="22"/>
      <c r="I4" s="22"/>
      <c r="J4" s="22"/>
      <c r="K4" s="22"/>
      <c r="M4" s="23">
        <f>PRECIO!B3</f>
        <v>10.5</v>
      </c>
      <c r="N4" s="22"/>
      <c r="P4" s="22"/>
      <c r="Q4" s="22"/>
      <c r="R4" s="22"/>
      <c r="T4" s="22"/>
      <c r="U4" s="22"/>
      <c r="W4" s="22"/>
      <c r="X4" s="22"/>
      <c r="Z4" s="24">
        <v>1.23</v>
      </c>
      <c r="AA4" s="22"/>
      <c r="AB4" s="22"/>
      <c r="AD4" s="22"/>
      <c r="AF4" s="22"/>
      <c r="AG4" s="22"/>
    </row>
    <row r="5" ht="18" customHeight="1" spans="1:33" x14ac:dyDescent="0.25">
      <c r="A5" s="20">
        <v>40</v>
      </c>
      <c r="B5" s="21">
        <v>46298</v>
      </c>
      <c r="C5" s="22"/>
      <c r="D5" s="22"/>
      <c r="E5" s="22"/>
      <c r="F5" s="22"/>
      <c r="G5" s="22"/>
      <c r="H5" s="22"/>
      <c r="I5" s="22"/>
      <c r="J5" s="22"/>
      <c r="K5" s="22"/>
      <c r="M5" s="23">
        <f>PRECIO!B4</f>
        <v>10.5</v>
      </c>
      <c r="N5" s="22"/>
      <c r="P5" s="22"/>
      <c r="Q5" s="22"/>
      <c r="R5" s="22"/>
      <c r="T5" s="22"/>
      <c r="U5" s="22"/>
      <c r="W5" s="22"/>
      <c r="X5" s="22"/>
      <c r="Z5" s="24">
        <v>1.23</v>
      </c>
      <c r="AA5" s="22"/>
      <c r="AB5" s="22"/>
      <c r="AD5" s="22"/>
      <c r="AF5" s="22"/>
      <c r="AG5" s="22"/>
    </row>
    <row r="6" ht="18" customHeight="1" spans="1:33" x14ac:dyDescent="0.25">
      <c r="A6" s="20">
        <v>41</v>
      </c>
      <c r="B6" s="21">
        <v>46299</v>
      </c>
      <c r="C6" s="22"/>
      <c r="D6" s="22"/>
      <c r="E6" s="22"/>
      <c r="F6" s="22"/>
      <c r="G6" s="22"/>
      <c r="H6" s="22"/>
      <c r="I6" s="22"/>
      <c r="J6" s="22"/>
      <c r="K6" s="22"/>
      <c r="M6" s="23">
        <f>PRECIO!B5</f>
        <v>10.5</v>
      </c>
      <c r="N6" s="22"/>
      <c r="P6" s="25">
        <v>100</v>
      </c>
      <c r="Q6" s="26">
        <v>12</v>
      </c>
      <c r="R6" s="22"/>
      <c r="T6" s="22"/>
      <c r="U6" s="22"/>
      <c r="W6" s="22"/>
      <c r="X6" s="22"/>
      <c r="Z6" s="24">
        <v>1.23</v>
      </c>
      <c r="AA6" s="22"/>
      <c r="AB6" s="22"/>
      <c r="AD6" s="25">
        <v>-10</v>
      </c>
      <c r="AF6" s="27">
        <v>-15.5</v>
      </c>
      <c r="AG6" s="27">
        <v>0</v>
      </c>
    </row>
    <row r="7" ht="18" customHeight="1" spans="1:33" x14ac:dyDescent="0.25">
      <c r="A7" s="20">
        <v>41</v>
      </c>
      <c r="B7" s="21">
        <v>46300</v>
      </c>
      <c r="C7" s="22"/>
      <c r="D7" s="22"/>
      <c r="E7" s="22"/>
      <c r="F7" s="22"/>
      <c r="G7" s="22"/>
      <c r="H7" s="22"/>
      <c r="I7" s="22"/>
      <c r="J7" s="22"/>
      <c r="K7" s="22"/>
      <c r="M7" s="23">
        <f>PRECIO!B6</f>
        <v>10.5</v>
      </c>
      <c r="N7" s="22"/>
      <c r="P7" s="22"/>
      <c r="Q7" s="22"/>
      <c r="R7" s="22"/>
      <c r="T7" s="22"/>
      <c r="U7" s="22"/>
      <c r="W7" s="22"/>
      <c r="X7" s="22"/>
      <c r="Z7" s="24">
        <v>1.23</v>
      </c>
      <c r="AA7" s="22"/>
      <c r="AB7" s="22"/>
      <c r="AD7" s="22"/>
      <c r="AF7" s="22"/>
      <c r="AG7" s="22"/>
    </row>
    <row r="8" ht="18" customHeight="1" spans="1:33" x14ac:dyDescent="0.25">
      <c r="A8" s="20">
        <v>41</v>
      </c>
      <c r="B8" s="21">
        <v>46301</v>
      </c>
      <c r="C8" s="22"/>
      <c r="D8" s="22"/>
      <c r="E8" s="22"/>
      <c r="F8" s="22"/>
      <c r="G8" s="22"/>
      <c r="H8" s="22"/>
      <c r="I8" s="22"/>
      <c r="J8" s="22"/>
      <c r="K8" s="22"/>
      <c r="M8" s="23">
        <f>PRECIO!B7</f>
        <v>10.5</v>
      </c>
      <c r="N8" s="22"/>
      <c r="P8" s="22"/>
      <c r="Q8" s="22"/>
      <c r="R8" s="22"/>
      <c r="T8" s="22"/>
      <c r="U8" s="22"/>
      <c r="W8" s="22"/>
      <c r="X8" s="22"/>
      <c r="Z8" s="24">
        <v>1.23</v>
      </c>
      <c r="AA8" s="22"/>
      <c r="AB8" s="22"/>
      <c r="AD8" s="22"/>
      <c r="AF8" s="22"/>
      <c r="AG8" s="22"/>
    </row>
    <row r="9" ht="18" customHeight="1" spans="1:33" x14ac:dyDescent="0.25">
      <c r="A9" s="20">
        <v>41</v>
      </c>
      <c r="B9" s="21">
        <v>46302</v>
      </c>
      <c r="C9" s="22"/>
      <c r="D9" s="22"/>
      <c r="E9" s="22"/>
      <c r="F9" s="22"/>
      <c r="G9" s="22"/>
      <c r="H9" s="22"/>
      <c r="I9" s="22"/>
      <c r="J9" s="22"/>
      <c r="K9" s="22"/>
      <c r="M9" s="23">
        <f>PRECIO!B8</f>
        <v>10.5</v>
      </c>
      <c r="N9" s="22"/>
      <c r="P9" s="22"/>
      <c r="Q9" s="22"/>
      <c r="R9" s="22"/>
      <c r="T9" s="22"/>
      <c r="U9" s="22"/>
      <c r="W9" s="22"/>
      <c r="X9" s="22"/>
      <c r="Z9" s="24">
        <v>1.23</v>
      </c>
      <c r="AA9" s="22"/>
      <c r="AB9" s="22"/>
      <c r="AD9" s="22"/>
      <c r="AF9" s="22"/>
      <c r="AG9" s="22"/>
    </row>
    <row r="10" ht="18" customHeight="1" spans="1:33" x14ac:dyDescent="0.25">
      <c r="A10" s="20">
        <v>41</v>
      </c>
      <c r="B10" s="21">
        <v>46303</v>
      </c>
      <c r="C10" s="22"/>
      <c r="D10" s="22"/>
      <c r="E10" s="22"/>
      <c r="F10" s="22"/>
      <c r="G10" s="22"/>
      <c r="H10" s="22"/>
      <c r="I10" s="22"/>
      <c r="J10" s="22"/>
      <c r="K10" s="22"/>
      <c r="M10" s="23">
        <f>PRECIO!B9</f>
        <v>10.5</v>
      </c>
      <c r="N10" s="22"/>
      <c r="P10" s="22"/>
      <c r="Q10" s="22"/>
      <c r="R10" s="22"/>
      <c r="T10" s="22"/>
      <c r="U10" s="22"/>
      <c r="W10" s="22"/>
      <c r="X10" s="22"/>
      <c r="Z10" s="24">
        <v>1.23</v>
      </c>
      <c r="AA10" s="22"/>
      <c r="AB10" s="22"/>
      <c r="AD10" s="22"/>
      <c r="AF10" s="22"/>
      <c r="AG10" s="22"/>
    </row>
    <row r="11" ht="18" customHeight="1" spans="1:33" x14ac:dyDescent="0.25">
      <c r="A11" s="20">
        <v>41</v>
      </c>
      <c r="B11" s="21">
        <v>46304</v>
      </c>
      <c r="C11" s="22"/>
      <c r="D11" s="22"/>
      <c r="E11" s="22"/>
      <c r="F11" s="22"/>
      <c r="G11" s="22"/>
      <c r="H11" s="22"/>
      <c r="I11" s="22"/>
      <c r="J11" s="22"/>
      <c r="K11" s="22"/>
      <c r="M11" s="23">
        <f>PRECIO!B10</f>
        <v>10.5</v>
      </c>
      <c r="N11" s="22"/>
      <c r="P11" s="22"/>
      <c r="Q11" s="22"/>
      <c r="R11" s="22"/>
      <c r="T11" s="22"/>
      <c r="U11" s="22"/>
      <c r="W11" s="22"/>
      <c r="X11" s="22"/>
      <c r="Z11" s="24">
        <v>1.23</v>
      </c>
      <c r="AA11" s="22"/>
      <c r="AB11" s="22"/>
      <c r="AD11" s="22"/>
      <c r="AF11" s="22"/>
      <c r="AG11" s="22"/>
    </row>
    <row r="12" ht="18" customHeight="1" spans="1:33" x14ac:dyDescent="0.25">
      <c r="A12" s="20">
        <v>41</v>
      </c>
      <c r="B12" s="21">
        <v>46305</v>
      </c>
      <c r="C12" s="22"/>
      <c r="D12" s="22"/>
      <c r="E12" s="22"/>
      <c r="F12" s="22"/>
      <c r="G12" s="22"/>
      <c r="H12" s="22"/>
      <c r="I12" s="22"/>
      <c r="J12" s="22"/>
      <c r="K12" s="22"/>
      <c r="M12" s="23">
        <f>PRECIO!B11</f>
        <v>10.5</v>
      </c>
      <c r="N12" s="22"/>
      <c r="P12" s="22"/>
      <c r="Q12" s="22"/>
      <c r="R12" s="22"/>
      <c r="T12" s="22"/>
      <c r="U12" s="22"/>
      <c r="W12" s="22"/>
      <c r="X12" s="22"/>
      <c r="Z12" s="24">
        <v>1.23</v>
      </c>
      <c r="AA12" s="22"/>
      <c r="AB12" s="22"/>
      <c r="AD12" s="22"/>
      <c r="AF12" s="22"/>
      <c r="AG12" s="22"/>
    </row>
    <row r="13" ht="18" customHeight="1" spans="1:33" x14ac:dyDescent="0.25">
      <c r="A13" s="20">
        <v>42</v>
      </c>
      <c r="B13" s="21">
        <v>46306</v>
      </c>
      <c r="C13" s="22"/>
      <c r="D13" s="22"/>
      <c r="E13" s="22"/>
      <c r="F13" s="22"/>
      <c r="G13" s="22"/>
      <c r="H13" s="22"/>
      <c r="I13" s="22"/>
      <c r="J13" s="22"/>
      <c r="K13" s="22"/>
      <c r="M13" s="23">
        <f>PRECIO!B12</f>
        <v>10.5</v>
      </c>
      <c r="N13" s="22"/>
      <c r="P13" s="25">
        <v>10</v>
      </c>
      <c r="Q13" s="26">
        <v>12</v>
      </c>
      <c r="R13" s="22"/>
      <c r="T13" s="22"/>
      <c r="U13" s="22"/>
      <c r="W13" s="22"/>
      <c r="X13" s="22"/>
      <c r="Z13" s="24">
        <v>1.23</v>
      </c>
      <c r="AA13" s="22"/>
      <c r="AB13" s="22"/>
      <c r="AD13" s="25">
        <v>-10</v>
      </c>
      <c r="AF13" s="22"/>
      <c r="AG13" s="22"/>
    </row>
    <row r="14" ht="18" customHeight="1" spans="1:33" x14ac:dyDescent="0.25">
      <c r="A14" s="20">
        <v>42</v>
      </c>
      <c r="B14" s="21">
        <v>46307</v>
      </c>
      <c r="C14" s="22"/>
      <c r="D14" s="22"/>
      <c r="E14" s="22"/>
      <c r="F14" s="22"/>
      <c r="G14" s="22"/>
      <c r="H14" s="22"/>
      <c r="I14" s="22"/>
      <c r="J14" s="22"/>
      <c r="K14" s="22"/>
      <c r="M14" s="23">
        <f>PRECIO!B13</f>
        <v>10.5</v>
      </c>
      <c r="N14" s="22"/>
      <c r="P14" s="25">
        <v>10</v>
      </c>
      <c r="Q14" s="26">
        <v>12</v>
      </c>
      <c r="R14" s="22"/>
      <c r="T14" s="22"/>
      <c r="U14" s="22"/>
      <c r="W14" s="22"/>
      <c r="X14" s="22"/>
      <c r="Z14" s="24">
        <v>1.23</v>
      </c>
      <c r="AA14" s="22"/>
      <c r="AB14" s="22"/>
      <c r="AD14" s="25">
        <v>-10</v>
      </c>
      <c r="AF14" s="22"/>
      <c r="AG14" s="22"/>
    </row>
    <row r="15" ht="18" customHeight="1" spans="1:33" x14ac:dyDescent="0.25">
      <c r="A15" s="20">
        <v>42</v>
      </c>
      <c r="B15" s="21">
        <v>46308</v>
      </c>
      <c r="C15" s="22"/>
      <c r="D15" s="22"/>
      <c r="E15" s="22"/>
      <c r="F15" s="22"/>
      <c r="G15" s="22"/>
      <c r="H15" s="22"/>
      <c r="I15" s="22"/>
      <c r="J15" s="22"/>
      <c r="K15" s="22"/>
      <c r="M15" s="23">
        <f>PRECIO!B14</f>
        <v>10.5</v>
      </c>
      <c r="N15" s="22"/>
      <c r="P15" s="25">
        <v>10</v>
      </c>
      <c r="Q15" s="26">
        <v>12</v>
      </c>
      <c r="R15" s="22"/>
      <c r="T15" s="22"/>
      <c r="U15" s="22"/>
      <c r="W15" s="22"/>
      <c r="X15" s="22"/>
      <c r="Z15" s="24">
        <v>1.23</v>
      </c>
      <c r="AA15" s="22"/>
      <c r="AB15" s="22"/>
      <c r="AD15" s="25">
        <v>-10</v>
      </c>
      <c r="AF15" s="22"/>
      <c r="AG15" s="22"/>
    </row>
    <row r="16" ht="18" customHeight="1" spans="1:33" x14ac:dyDescent="0.25">
      <c r="A16" s="20">
        <v>42</v>
      </c>
      <c r="B16" s="21">
        <v>46309</v>
      </c>
      <c r="C16" s="22"/>
      <c r="D16" s="22"/>
      <c r="E16" s="22"/>
      <c r="F16" s="22"/>
      <c r="G16" s="22"/>
      <c r="H16" s="22"/>
      <c r="I16" s="22"/>
      <c r="J16" s="22"/>
      <c r="K16" s="22"/>
      <c r="M16" s="23">
        <f>PRECIO!B15</f>
        <v>10.5</v>
      </c>
      <c r="N16" s="22"/>
      <c r="P16" s="25">
        <v>10</v>
      </c>
      <c r="Q16" s="26">
        <v>12</v>
      </c>
      <c r="R16" s="22"/>
      <c r="T16" s="22"/>
      <c r="U16" s="22"/>
      <c r="W16" s="22"/>
      <c r="X16" s="22"/>
      <c r="Z16" s="24">
        <v>1.23</v>
      </c>
      <c r="AA16" s="22"/>
      <c r="AB16" s="22"/>
      <c r="AD16" s="25">
        <v>-10</v>
      </c>
      <c r="AF16" s="22"/>
      <c r="AG16" s="22"/>
    </row>
    <row r="17" ht="18" customHeight="1" spans="1:33" x14ac:dyDescent="0.25">
      <c r="A17" s="20">
        <v>42</v>
      </c>
      <c r="B17" s="21">
        <v>46310</v>
      </c>
      <c r="C17" s="22"/>
      <c r="D17" s="22"/>
      <c r="E17" s="22"/>
      <c r="F17" s="22"/>
      <c r="G17" s="22"/>
      <c r="H17" s="22"/>
      <c r="I17" s="22"/>
      <c r="J17" s="22"/>
      <c r="K17" s="22"/>
      <c r="M17" s="23">
        <f>PRECIO!B16</f>
        <v>10.5</v>
      </c>
      <c r="N17" s="22"/>
      <c r="P17" s="25">
        <v>10</v>
      </c>
      <c r="Q17" s="26">
        <v>12</v>
      </c>
      <c r="R17" s="22"/>
      <c r="T17" s="22"/>
      <c r="U17" s="22"/>
      <c r="W17" s="22"/>
      <c r="X17" s="22"/>
      <c r="Z17" s="24">
        <v>1.23</v>
      </c>
      <c r="AA17" s="22"/>
      <c r="AB17" s="22"/>
      <c r="AD17" s="25">
        <v>-10</v>
      </c>
      <c r="AF17" s="22"/>
      <c r="AG17" s="22"/>
    </row>
    <row r="18" ht="18" customHeight="1" spans="1:33" x14ac:dyDescent="0.25">
      <c r="A18" s="20">
        <v>42</v>
      </c>
      <c r="B18" s="21">
        <v>46311</v>
      </c>
      <c r="C18" s="22"/>
      <c r="D18" s="22"/>
      <c r="E18" s="22"/>
      <c r="F18" s="22"/>
      <c r="G18" s="22"/>
      <c r="H18" s="22"/>
      <c r="I18" s="22"/>
      <c r="J18" s="22"/>
      <c r="K18" s="22"/>
      <c r="M18" s="23">
        <f>PRECIO!B17</f>
        <v>10.5</v>
      </c>
      <c r="N18" s="22"/>
      <c r="P18" s="25">
        <v>10</v>
      </c>
      <c r="Q18" s="26">
        <v>12</v>
      </c>
      <c r="R18" s="22"/>
      <c r="T18" s="22"/>
      <c r="U18" s="22"/>
      <c r="W18" s="22"/>
      <c r="X18" s="22"/>
      <c r="Z18" s="24">
        <v>1.23</v>
      </c>
      <c r="AA18" s="22"/>
      <c r="AB18" s="22"/>
      <c r="AD18" s="25">
        <v>-10</v>
      </c>
      <c r="AF18" s="22"/>
      <c r="AG18" s="22"/>
    </row>
    <row r="19" ht="18" customHeight="1" spans="1:33" x14ac:dyDescent="0.25">
      <c r="A19" s="20">
        <v>42</v>
      </c>
      <c r="B19" s="21">
        <v>46312</v>
      </c>
      <c r="C19" s="22"/>
      <c r="D19" s="22"/>
      <c r="E19" s="22"/>
      <c r="F19" s="22"/>
      <c r="G19" s="22"/>
      <c r="H19" s="22"/>
      <c r="I19" s="22"/>
      <c r="J19" s="22"/>
      <c r="K19" s="22"/>
      <c r="M19" s="23">
        <f>PRECIO!B18</f>
        <v>10.5</v>
      </c>
      <c r="N19" s="22"/>
      <c r="P19" s="25">
        <v>10</v>
      </c>
      <c r="Q19" s="26">
        <v>12</v>
      </c>
      <c r="R19" s="22"/>
      <c r="T19" s="22"/>
      <c r="U19" s="22"/>
      <c r="W19" s="22"/>
      <c r="X19" s="22"/>
      <c r="Z19" s="24">
        <v>1.23</v>
      </c>
      <c r="AA19" s="22"/>
      <c r="AB19" s="22"/>
      <c r="AD19" s="25">
        <v>-10</v>
      </c>
      <c r="AF19" s="22"/>
      <c r="AG19" s="22"/>
    </row>
    <row r="20" ht="18" customHeight="1" spans="1:33" x14ac:dyDescent="0.25">
      <c r="A20" s="20">
        <v>43</v>
      </c>
      <c r="B20" s="21">
        <v>46313</v>
      </c>
      <c r="C20" s="22"/>
      <c r="D20" s="22"/>
      <c r="E20" s="22"/>
      <c r="F20" s="22"/>
      <c r="G20" s="22"/>
      <c r="H20" s="22"/>
      <c r="I20" s="22"/>
      <c r="J20" s="22"/>
      <c r="K20" s="22"/>
      <c r="M20" s="23">
        <f>PRECIO!B19</f>
        <v>10.5</v>
      </c>
      <c r="N20" s="22"/>
      <c r="P20" s="25">
        <v>10</v>
      </c>
      <c r="Q20" s="26">
        <v>12</v>
      </c>
      <c r="R20" s="22"/>
      <c r="T20" s="22"/>
      <c r="U20" s="22"/>
      <c r="W20" s="22"/>
      <c r="X20" s="22"/>
      <c r="Z20" s="24">
        <v>1.23</v>
      </c>
      <c r="AA20" s="22"/>
      <c r="AB20" s="22"/>
      <c r="AD20" s="25">
        <v>-10</v>
      </c>
      <c r="AF20" s="22"/>
      <c r="AG20" s="22"/>
    </row>
    <row r="21" ht="18" customHeight="1" spans="1:33" x14ac:dyDescent="0.25">
      <c r="A21" s="20">
        <v>43</v>
      </c>
      <c r="B21" s="21">
        <v>46314</v>
      </c>
      <c r="C21" s="22"/>
      <c r="D21" s="22"/>
      <c r="E21" s="22"/>
      <c r="F21" s="22"/>
      <c r="G21" s="22"/>
      <c r="H21" s="22"/>
      <c r="I21" s="22"/>
      <c r="J21" s="22"/>
      <c r="K21" s="22"/>
      <c r="M21" s="23">
        <f>PRECIO!B20</f>
        <v>10.5</v>
      </c>
      <c r="N21" s="22"/>
      <c r="P21" s="25">
        <v>10</v>
      </c>
      <c r="Q21" s="26">
        <v>12</v>
      </c>
      <c r="R21" s="22"/>
      <c r="T21" s="22"/>
      <c r="U21" s="22"/>
      <c r="W21" s="22"/>
      <c r="X21" s="22"/>
      <c r="Z21" s="24">
        <v>1.23</v>
      </c>
      <c r="AA21" s="22"/>
      <c r="AB21" s="22"/>
      <c r="AD21" s="25">
        <v>-10</v>
      </c>
      <c r="AF21" s="22"/>
      <c r="AG21" s="22"/>
    </row>
    <row r="22" ht="18" customHeight="1" spans="1:33" x14ac:dyDescent="0.25">
      <c r="A22" s="20">
        <v>43</v>
      </c>
      <c r="B22" s="21">
        <v>46315</v>
      </c>
      <c r="C22" s="22"/>
      <c r="D22" s="22"/>
      <c r="E22" s="22"/>
      <c r="F22" s="22"/>
      <c r="G22" s="22"/>
      <c r="H22" s="22"/>
      <c r="I22" s="22"/>
      <c r="J22" s="22"/>
      <c r="K22" s="22"/>
      <c r="M22" s="23">
        <f>PRECIO!B21</f>
        <v>10.5</v>
      </c>
      <c r="N22" s="22"/>
      <c r="P22" s="25">
        <v>10</v>
      </c>
      <c r="Q22" s="26">
        <v>12</v>
      </c>
      <c r="R22" s="22"/>
      <c r="T22" s="22"/>
      <c r="U22" s="22"/>
      <c r="W22" s="22"/>
      <c r="X22" s="22"/>
      <c r="Z22" s="24">
        <v>1.23</v>
      </c>
      <c r="AA22" s="22"/>
      <c r="AB22" s="22"/>
      <c r="AD22" s="25">
        <v>-10</v>
      </c>
      <c r="AF22" s="22"/>
      <c r="AG22" s="22"/>
    </row>
    <row r="23" ht="18" customHeight="1" spans="1:33" x14ac:dyDescent="0.25">
      <c r="A23" s="20">
        <v>43</v>
      </c>
      <c r="B23" s="21">
        <v>46316</v>
      </c>
      <c r="C23" s="22"/>
      <c r="D23" s="22"/>
      <c r="E23" s="22"/>
      <c r="F23" s="22"/>
      <c r="G23" s="22"/>
      <c r="H23" s="22"/>
      <c r="I23" s="22"/>
      <c r="J23" s="22"/>
      <c r="K23" s="22"/>
      <c r="M23" s="23">
        <f>PRECIO!B22</f>
        <v>10.5</v>
      </c>
      <c r="N23" s="22"/>
      <c r="P23" s="25">
        <v>10</v>
      </c>
      <c r="Q23" s="26">
        <v>12</v>
      </c>
      <c r="R23" s="22"/>
      <c r="T23" s="22"/>
      <c r="U23" s="22"/>
      <c r="W23" s="22"/>
      <c r="X23" s="22"/>
      <c r="Z23" s="24">
        <v>1.23</v>
      </c>
      <c r="AA23" s="22"/>
      <c r="AB23" s="22"/>
      <c r="AD23" s="25">
        <v>-10</v>
      </c>
      <c r="AF23" s="22"/>
      <c r="AG23" s="22"/>
    </row>
    <row r="24" ht="18" customHeight="1" spans="1:33" x14ac:dyDescent="0.25">
      <c r="A24" s="20">
        <v>43</v>
      </c>
      <c r="B24" s="21">
        <v>46317</v>
      </c>
      <c r="C24" s="22"/>
      <c r="D24" s="22"/>
      <c r="E24" s="22"/>
      <c r="F24" s="22"/>
      <c r="G24" s="22"/>
      <c r="H24" s="22"/>
      <c r="I24" s="22"/>
      <c r="J24" s="22"/>
      <c r="K24" s="22"/>
      <c r="M24" s="23">
        <f>PRECIO!B23</f>
        <v>10.5</v>
      </c>
      <c r="N24" s="22"/>
      <c r="P24" s="25">
        <v>10</v>
      </c>
      <c r="Q24" s="26">
        <v>12</v>
      </c>
      <c r="R24" s="22"/>
      <c r="T24" s="22"/>
      <c r="U24" s="22"/>
      <c r="W24" s="22"/>
      <c r="X24" s="22"/>
      <c r="Z24" s="24">
        <v>1.23</v>
      </c>
      <c r="AA24" s="22"/>
      <c r="AB24" s="22"/>
      <c r="AD24" s="25">
        <v>-10</v>
      </c>
      <c r="AF24" s="22"/>
      <c r="AG24" s="22"/>
    </row>
    <row r="25" ht="18" customHeight="1" spans="1:33" x14ac:dyDescent="0.25">
      <c r="A25" s="20">
        <v>43</v>
      </c>
      <c r="B25" s="21">
        <v>46318</v>
      </c>
      <c r="C25" s="22"/>
      <c r="D25" s="22"/>
      <c r="E25" s="22"/>
      <c r="F25" s="22"/>
      <c r="G25" s="22"/>
      <c r="H25" s="22"/>
      <c r="I25" s="22"/>
      <c r="J25" s="22"/>
      <c r="K25" s="22"/>
      <c r="M25" s="23">
        <f>PRECIO!B24</f>
        <v>10.5</v>
      </c>
      <c r="N25" s="22"/>
      <c r="P25" s="25">
        <v>10</v>
      </c>
      <c r="Q25" s="26">
        <v>12</v>
      </c>
      <c r="R25" s="22"/>
      <c r="T25" s="22"/>
      <c r="U25" s="22"/>
      <c r="W25" s="22"/>
      <c r="X25" s="22"/>
      <c r="Z25" s="24">
        <v>1.23</v>
      </c>
      <c r="AA25" s="22"/>
      <c r="AB25" s="22"/>
      <c r="AD25" s="25">
        <v>-10</v>
      </c>
      <c r="AF25" s="22"/>
      <c r="AG25" s="22"/>
    </row>
    <row r="26" ht="18" customHeight="1" spans="1:33" x14ac:dyDescent="0.25">
      <c r="A26" s="20">
        <v>43</v>
      </c>
      <c r="B26" s="21">
        <v>46319</v>
      </c>
      <c r="C26" s="22"/>
      <c r="D26" s="22"/>
      <c r="E26" s="22"/>
      <c r="F26" s="22"/>
      <c r="G26" s="22"/>
      <c r="H26" s="22"/>
      <c r="I26" s="22"/>
      <c r="J26" s="22"/>
      <c r="K26" s="22"/>
      <c r="M26" s="23">
        <f>PRECIO!B25</f>
        <v>10.5</v>
      </c>
      <c r="N26" s="22"/>
      <c r="P26" s="25">
        <v>10</v>
      </c>
      <c r="Q26" s="26">
        <v>12</v>
      </c>
      <c r="R26" s="22"/>
      <c r="T26" s="22"/>
      <c r="U26" s="22"/>
      <c r="W26" s="22"/>
      <c r="X26" s="22"/>
      <c r="Z26" s="24">
        <v>1.23</v>
      </c>
      <c r="AA26" s="22"/>
      <c r="AB26" s="22"/>
      <c r="AD26" s="25">
        <v>-10</v>
      </c>
      <c r="AF26" s="22"/>
      <c r="AG26" s="22"/>
    </row>
    <row r="27" ht="18" customHeight="1" spans="1:33" x14ac:dyDescent="0.25">
      <c r="A27" s="20">
        <v>44</v>
      </c>
      <c r="B27" s="21">
        <v>46320</v>
      </c>
      <c r="C27" s="22"/>
      <c r="D27" s="22"/>
      <c r="E27" s="22"/>
      <c r="F27" s="22"/>
      <c r="G27" s="22"/>
      <c r="H27" s="22"/>
      <c r="I27" s="22"/>
      <c r="J27" s="22"/>
      <c r="K27" s="22"/>
      <c r="M27" s="23">
        <f>PRECIO!B26</f>
        <v>10.5</v>
      </c>
      <c r="N27" s="22"/>
      <c r="P27" s="25">
        <v>10</v>
      </c>
      <c r="Q27" s="26">
        <v>12</v>
      </c>
      <c r="R27" s="22"/>
      <c r="T27" s="22"/>
      <c r="U27" s="22"/>
      <c r="W27" s="22"/>
      <c r="X27" s="22"/>
      <c r="Z27" s="24">
        <v>1.23</v>
      </c>
      <c r="AA27" s="22"/>
      <c r="AB27" s="22"/>
      <c r="AD27" s="25">
        <v>-10</v>
      </c>
      <c r="AF27" s="22"/>
      <c r="AG27" s="22"/>
    </row>
    <row r="28" ht="18" customHeight="1" spans="1:33" x14ac:dyDescent="0.25">
      <c r="A28" s="20">
        <v>44</v>
      </c>
      <c r="B28" s="21">
        <v>46321</v>
      </c>
      <c r="C28" s="22"/>
      <c r="D28" s="22"/>
      <c r="E28" s="22"/>
      <c r="F28" s="22"/>
      <c r="G28" s="22"/>
      <c r="H28" s="22"/>
      <c r="I28" s="22"/>
      <c r="J28" s="22"/>
      <c r="K28" s="22"/>
      <c r="M28" s="23">
        <f>PRECIO!B27</f>
        <v>10.5</v>
      </c>
      <c r="N28" s="22"/>
      <c r="P28" s="25">
        <v>10</v>
      </c>
      <c r="Q28" s="26">
        <v>12</v>
      </c>
      <c r="R28" s="22"/>
      <c r="T28" s="22"/>
      <c r="U28" s="22"/>
      <c r="W28" s="22"/>
      <c r="X28" s="22"/>
      <c r="Z28" s="24">
        <v>1.23</v>
      </c>
      <c r="AA28" s="22"/>
      <c r="AB28" s="22"/>
      <c r="AD28" s="25">
        <v>-10</v>
      </c>
      <c r="AF28" s="22"/>
      <c r="AG28" s="22"/>
    </row>
    <row r="29" ht="18" customHeight="1" spans="1:33" x14ac:dyDescent="0.25">
      <c r="A29" s="20">
        <v>44</v>
      </c>
      <c r="B29" s="21">
        <v>46322</v>
      </c>
      <c r="C29" s="22"/>
      <c r="D29" s="22"/>
      <c r="E29" s="22"/>
      <c r="F29" s="22"/>
      <c r="G29" s="22"/>
      <c r="H29" s="22"/>
      <c r="I29" s="22"/>
      <c r="J29" s="22"/>
      <c r="K29" s="22"/>
      <c r="M29" s="23">
        <f>PRECIO!B28</f>
        <v>10.5</v>
      </c>
      <c r="N29" s="22"/>
      <c r="P29" s="25">
        <v>10</v>
      </c>
      <c r="Q29" s="26">
        <v>12</v>
      </c>
      <c r="R29" s="22"/>
      <c r="T29" s="22"/>
      <c r="U29" s="22"/>
      <c r="W29" s="22"/>
      <c r="X29" s="22"/>
      <c r="Z29" s="24">
        <v>1.23</v>
      </c>
      <c r="AA29" s="22"/>
      <c r="AB29" s="22"/>
      <c r="AD29" s="25">
        <v>-10</v>
      </c>
      <c r="AF29" s="22"/>
      <c r="AG29" s="22"/>
    </row>
    <row r="30" ht="18" customHeight="1" spans="1:33" x14ac:dyDescent="0.25">
      <c r="A30" s="20">
        <v>44</v>
      </c>
      <c r="B30" s="21">
        <v>46323</v>
      </c>
      <c r="C30" s="22"/>
      <c r="D30" s="22"/>
      <c r="E30" s="22"/>
      <c r="F30" s="22"/>
      <c r="G30" s="22"/>
      <c r="H30" s="22"/>
      <c r="I30" s="22"/>
      <c r="J30" s="22"/>
      <c r="K30" s="22"/>
      <c r="M30" s="23">
        <f>PRECIO!B29</f>
        <v>10.5</v>
      </c>
      <c r="N30" s="22"/>
      <c r="P30" s="25">
        <v>10</v>
      </c>
      <c r="Q30" s="26">
        <v>12</v>
      </c>
      <c r="R30" s="22"/>
      <c r="T30" s="22"/>
      <c r="U30" s="22"/>
      <c r="W30" s="22"/>
      <c r="X30" s="22"/>
      <c r="Z30" s="24">
        <v>1.23</v>
      </c>
      <c r="AA30" s="22"/>
      <c r="AB30" s="22"/>
      <c r="AD30" s="25">
        <v>-10</v>
      </c>
      <c r="AF30" s="22"/>
      <c r="AG30" s="22"/>
    </row>
    <row r="31" ht="18" customHeight="1" spans="1:33" x14ac:dyDescent="0.25">
      <c r="A31" s="20">
        <v>44</v>
      </c>
      <c r="B31" s="21">
        <v>46324</v>
      </c>
      <c r="C31" s="22"/>
      <c r="D31" s="22"/>
      <c r="E31" s="22"/>
      <c r="F31" s="22"/>
      <c r="G31" s="22"/>
      <c r="H31" s="22"/>
      <c r="I31" s="22"/>
      <c r="J31" s="22"/>
      <c r="K31" s="22"/>
      <c r="M31" s="23">
        <f>PRECIO!B30</f>
        <v>10.5</v>
      </c>
      <c r="N31" s="22"/>
      <c r="P31" s="25">
        <v>10</v>
      </c>
      <c r="Q31" s="26">
        <v>12</v>
      </c>
      <c r="R31" s="22"/>
      <c r="T31" s="22"/>
      <c r="U31" s="22"/>
      <c r="W31" s="22"/>
      <c r="X31" s="22"/>
      <c r="Z31" s="24">
        <v>1.23</v>
      </c>
      <c r="AA31" s="22"/>
      <c r="AB31" s="22"/>
      <c r="AD31" s="25">
        <v>-10</v>
      </c>
      <c r="AF31" s="22"/>
      <c r="AG31" s="22"/>
    </row>
    <row r="32" ht="18" customHeight="1" spans="1:33" x14ac:dyDescent="0.25">
      <c r="A32" s="20">
        <v>44</v>
      </c>
      <c r="B32" s="21">
        <v>46325</v>
      </c>
      <c r="C32" s="22"/>
      <c r="D32" s="22"/>
      <c r="E32" s="22"/>
      <c r="F32" s="22"/>
      <c r="G32" s="22"/>
      <c r="H32" s="22"/>
      <c r="I32" s="22"/>
      <c r="J32" s="22"/>
      <c r="K32" s="22"/>
      <c r="M32" s="23">
        <f>PRECIO!B31</f>
        <v>10.5</v>
      </c>
      <c r="N32" s="22"/>
      <c r="P32" s="25">
        <v>10</v>
      </c>
      <c r="Q32" s="26">
        <v>12</v>
      </c>
      <c r="R32" s="22"/>
      <c r="T32" s="22"/>
      <c r="U32" s="22"/>
      <c r="W32" s="22"/>
      <c r="X32" s="22"/>
      <c r="Z32" s="24">
        <v>1.23</v>
      </c>
      <c r="AA32" s="22"/>
      <c r="AB32" s="22"/>
      <c r="AD32" s="25">
        <v>-10</v>
      </c>
      <c r="AF32" s="22"/>
      <c r="AG32" s="22"/>
    </row>
    <row r="33" ht="18" customHeight="1" spans="1:33" x14ac:dyDescent="0.25">
      <c r="A33" s="20">
        <v>44</v>
      </c>
      <c r="B33" s="21">
        <v>46326</v>
      </c>
      <c r="C33" s="22"/>
      <c r="D33" s="22"/>
      <c r="E33" s="22"/>
      <c r="F33" s="22"/>
      <c r="G33" s="22"/>
      <c r="H33" s="22"/>
      <c r="I33" s="22"/>
      <c r="J33" s="22"/>
      <c r="K33" s="22"/>
      <c r="M33" s="23">
        <f>PRECIO!B32</f>
        <v>10.5</v>
      </c>
      <c r="N33" s="22"/>
      <c r="P33" s="25">
        <v>10</v>
      </c>
      <c r="Q33" s="26">
        <v>12</v>
      </c>
      <c r="R33" s="22"/>
      <c r="T33" s="22"/>
      <c r="U33" s="22"/>
      <c r="W33" s="22"/>
      <c r="X33" s="22"/>
      <c r="Z33" s="24">
        <v>1.23</v>
      </c>
      <c r="AA33" s="22"/>
      <c r="AB33" s="22"/>
      <c r="AD33" s="25">
        <v>-10</v>
      </c>
      <c r="AF33" s="22"/>
      <c r="AG33" s="22"/>
    </row>
  </sheetData>
  <mergeCells count="8">
    <mergeCell ref="D1:G1"/>
    <mergeCell ref="H1:K1"/>
    <mergeCell ref="M1:N1"/>
    <mergeCell ref="P1:R1"/>
    <mergeCell ref="T1:U1"/>
    <mergeCell ref="W1:X1"/>
    <mergeCell ref="Z1:AB1"/>
    <mergeCell ref="AF1:A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8"/>
  <sheetFormatPr defaultRowHeight="15" outlineLevelRow="0" outlineLevelCol="0" x14ac:dyDescent="55"/>
  <cols>
    <col min="1" max="1" width="16.5547" customWidth="1"/>
    <col min="2" max="2" width="14" customWidth="1"/>
    <col min="4" max="4" width="15.2188" customWidth="1"/>
    <col min="5" max="5" width="2.2188" customWidth="1"/>
    <col min="8" max="8" width="13.5547" customWidth="1"/>
    <col min="9" max="9" width="2.2188" customWidth="1"/>
    <col min="10" max="10" width="18" customWidth="1"/>
    <col min="11" max="11" width="16" customWidth="1"/>
    <col min="12" max="12" width="18" customWidth="1"/>
    <col min="13" max="13" width="23.2188" customWidth="1"/>
    <col min="14" max="14" width="2.2188" customWidth="1"/>
    <col min="15" max="15" width="15.5547" customWidth="1"/>
    <col min="16" max="16" width="2.2188" customWidth="1"/>
    <col min="17" max="17" width="22" customWidth="1"/>
    <col min="18" max="18" width="20" customWidth="1"/>
    <col min="19" max="19" width="16" customWidth="1"/>
    <col min="20" max="20" width="22" customWidth="1"/>
    <col min="21" max="21" width="21.332" customWidth="1"/>
    <col min="22" max="22" width="2.2188" customWidth="1"/>
    <col min="23" max="23" width="20.7773" customWidth="1"/>
    <col min="24" max="24" width="2.2188" customWidth="1"/>
    <col min="25" max="25" width="14.7773" customWidth="1"/>
    <col min="26" max="26" width="13" customWidth="1"/>
    <col min="27" max="27" width="2.2188" customWidth="1"/>
    <col min="28" max="28" width="20.7773" customWidth="1"/>
    <col min="29" max="29" width="2.2188" customWidth="1"/>
    <col min="30" max="30" width="20.7773" customWidth="1"/>
    <col min="31" max="31" width="2.2188" customWidth="1"/>
    <col min="32" max="33" width="16.5547" customWidth="1"/>
    <col min="34" max="34" width="2.2188" customWidth="1"/>
    <col min="35" max="35" width="65.8867" customWidth="1"/>
    <col min="36" max="37" width="48" customWidth="1"/>
    <col min="38" max="38" width="9" hidden="1" customWidth="1"/>
    <col min="39" max="39" width="9" hidden="1" customWidth="1"/>
  </cols>
  <sheetData>
    <row r="1" ht="25.8" customHeight="1" spans="1:15" x14ac:dyDescent="0.25">
      <c r="A1" s="28" t="s">
        <v>50</v>
      </c>
      <c r="B1" s="28"/>
      <c r="C1" s="28"/>
      <c r="D1" s="28"/>
      <c r="O1" s="29">
        <v>2026</v>
      </c>
    </row>
    <row r="2" spans="1:15" x14ac:dyDescent="0.25">
      <c r="A2" t="s">
        <v>51</v>
      </c>
      <c r="O2" s="30" t="s">
        <v>52</v>
      </c>
    </row>
    <row r="3" ht="18" customHeight="1" spans="10:21" x14ac:dyDescent="0.25">
      <c r="J3" s="31"/>
      <c r="K3" s="31"/>
      <c r="L3" s="31"/>
      <c r="M3" s="31"/>
      <c r="Q3" s="31"/>
      <c r="R3" s="31"/>
      <c r="S3" s="31"/>
      <c r="T3" s="31"/>
      <c r="U3" s="31"/>
    </row>
    <row r="4" ht="14.4" customHeight="1" spans="1:37" x14ac:dyDescent="0.25">
      <c r="A4" s="32" t="s">
        <v>53</v>
      </c>
      <c r="B4" s="33" t="s">
        <v>54</v>
      </c>
      <c r="C4" s="33"/>
      <c r="D4" s="33"/>
      <c r="F4" s="33" t="s">
        <v>55</v>
      </c>
      <c r="G4" s="33"/>
      <c r="H4" s="33"/>
      <c r="J4" s="33" t="s">
        <v>56</v>
      </c>
      <c r="K4" s="33"/>
      <c r="L4" s="33"/>
      <c r="M4" s="33"/>
      <c r="O4" s="32" t="s">
        <v>57</v>
      </c>
      <c r="Q4" s="33" t="s">
        <v>58</v>
      </c>
      <c r="R4" s="33"/>
      <c r="S4" s="33"/>
      <c r="T4" s="33"/>
      <c r="U4" s="33"/>
      <c r="W4" s="32" t="s">
        <v>59</v>
      </c>
      <c r="Y4" s="33" t="s">
        <v>21</v>
      </c>
      <c r="Z4" s="33"/>
      <c r="AB4" s="32" t="s">
        <v>59</v>
      </c>
      <c r="AD4" s="32" t="s">
        <v>60</v>
      </c>
      <c r="AF4" s="33" t="s">
        <v>61</v>
      </c>
      <c r="AG4" s="33"/>
      <c r="AI4" s="32" t="s">
        <v>62</v>
      </c>
      <c r="AJ4" s="32" t="s">
        <v>63</v>
      </c>
      <c r="AK4" s="32" t="s">
        <v>34</v>
      </c>
    </row>
    <row r="5" ht="30" customHeight="1" spans="1:37" x14ac:dyDescent="0.25">
      <c r="A5" s="32"/>
      <c r="B5" s="34" t="s">
        <v>64</v>
      </c>
      <c r="C5" s="34" t="s">
        <v>29</v>
      </c>
      <c r="D5" s="34" t="s">
        <v>65</v>
      </c>
      <c r="F5" s="34" t="s">
        <v>45</v>
      </c>
      <c r="G5" s="34" t="s">
        <v>66</v>
      </c>
      <c r="H5" s="34" t="s">
        <v>67</v>
      </c>
      <c r="J5" s="34" t="s">
        <v>12</v>
      </c>
      <c r="K5" s="34" t="s">
        <v>13</v>
      </c>
      <c r="L5" s="34" t="s">
        <v>14</v>
      </c>
      <c r="M5" s="34" t="s">
        <v>68</v>
      </c>
      <c r="O5" s="34" t="s">
        <v>57</v>
      </c>
      <c r="Q5" s="34" t="s">
        <v>16</v>
      </c>
      <c r="R5" s="34" t="s">
        <v>17</v>
      </c>
      <c r="S5" s="34" t="s">
        <v>18</v>
      </c>
      <c r="T5" s="34" t="s">
        <v>19</v>
      </c>
      <c r="U5" s="34" t="s">
        <v>68</v>
      </c>
      <c r="W5" s="34" t="s">
        <v>59</v>
      </c>
      <c r="Y5" s="34" t="s">
        <v>69</v>
      </c>
      <c r="Z5" s="34" t="s">
        <v>70</v>
      </c>
      <c r="AB5" s="34" t="s">
        <v>59</v>
      </c>
      <c r="AD5" s="34" t="s">
        <v>60</v>
      </c>
      <c r="AF5" s="34" t="s">
        <v>71</v>
      </c>
      <c r="AG5" s="34" t="s">
        <v>61</v>
      </c>
      <c r="AI5" s="34" t="s">
        <v>62</v>
      </c>
      <c r="AJ5" s="34" t="s">
        <v>63</v>
      </c>
      <c r="AK5" s="34" t="s">
        <v>34</v>
      </c>
    </row>
    <row r="6" spans="1:33" x14ac:dyDescent="0.25">
      <c r="A6" s="35">
        <v>46296</v>
      </c>
      <c r="B6" s="36">
        <f>IF(OR(ISNUMBER('Provincia Venta Diaria'!J2),ISNUMBER('Provincia Venta Diaria'!K2)),(IF(ISNUMBER('Provincia Venta Diaria'!J2),'Provincia Venta Diaria'!J2,0)+IF(ISNUMBER('Provincia Venta Diaria'!K2),'Provincia Venta Diaria'!K2,0))*1000,"")</f>
      </c>
      <c r="C6" s="37">
        <f>IF(AND(ISNUMBER(PRECIO!B2),ISNUMBER(PRECIO!B2)),PRECIO!B2,"")</f>
      </c>
      <c r="D6" s="36">
        <f>IF(AND(ISNUMBER(C6),ISNUMBER(B6)),C6*B6,"")</f>
      </c>
      <c r="F6" s="37"/>
      <c r="G6" s="37"/>
      <c r="H6" s="38">
        <f>IF(AND(ISNUMBER(C6),ISNUMBER(F6),ISNUMBER(G6)),C6-F6-G6,"")</f>
      </c>
      <c r="J6" s="37"/>
      <c r="K6" s="37"/>
      <c r="L6" s="37"/>
      <c r="M6" s="37">
        <f>IF(AND(ISNUMBER($M$3),ISNUMBER(B6),B6&lt;&gt;0),($M$3/27)/B6,"")</f>
      </c>
      <c r="O6" s="38">
        <f>IF(AND(ISNUMBER(H6),ISNUMBER(M6)),H6-M6,"")</f>
      </c>
      <c r="Q6" s="37"/>
      <c r="R6" s="37"/>
      <c r="S6" s="37"/>
      <c r="T6" s="37"/>
      <c r="U6" s="37">
        <f>IF(AND(ISNUMBER($U$3),ISNUMBER(B6),B6&lt;&gt;0),($U$3/27)/B6,"")</f>
      </c>
      <c r="W6" s="38">
        <f>IF(AND(ISNUMBER(O6),ISNUMBER(U6)),O6-U6,"")</f>
      </c>
      <c r="Y6" s="36"/>
      <c r="Z6" s="37">
        <f>IF(AND(ISNUMBER(Y6),ISNUMBER(B6),B6&lt;&gt;0),Y6/B6,"")</f>
      </c>
      <c r="AB6" s="38">
        <f>IF(AND(ISNUMBER(W6),ISNUMBER(Z6)),W6-Z6,"")</f>
      </c>
      <c r="AD6" s="37">
        <f>IF(AND(ISNUMBER('Provincia Comisiones'!B2),ISNUMBER('Provincia Comisiones'!B2)),'Provincia Comisiones'!B2,"")</f>
      </c>
      <c r="AF6" s="37">
        <f>IF(AND(ISNUMBER(AB6),ISNUMBER(AD6)),AB6+AD6,"")</f>
      </c>
      <c r="AG6" s="39">
        <f>IF(AND(ISNUMBER(AF6),ISNUMBER(B6)),AF6*B6,"")</f>
      </c>
    </row>
    <row r="7" spans="1:33" x14ac:dyDescent="0.25">
      <c r="A7" s="35">
        <v>46297</v>
      </c>
      <c r="B7" s="36">
        <f>IF(OR(ISNUMBER('Provincia Venta Diaria'!J3),ISNUMBER('Provincia Venta Diaria'!K3)),(IF(ISNUMBER('Provincia Venta Diaria'!J3),'Provincia Venta Diaria'!J3,0)+IF(ISNUMBER('Provincia Venta Diaria'!K3),'Provincia Venta Diaria'!K3,0))*1000,"")</f>
      </c>
      <c r="C7" s="37">
        <f>IF(AND(ISNUMBER(PRECIO!B3),ISNUMBER(PRECIO!B3)),PRECIO!B3,"")</f>
      </c>
      <c r="D7" s="36">
        <f>IF(AND(ISNUMBER(C7),ISNUMBER(B7)),C7*B7,"")</f>
      </c>
      <c r="F7" s="37"/>
      <c r="G7" s="37"/>
      <c r="H7" s="38">
        <f>IF(AND(ISNUMBER(C7),ISNUMBER(F7),ISNUMBER(G7)),C7-F7-G7,"")</f>
      </c>
      <c r="J7" s="37"/>
      <c r="K7" s="37"/>
      <c r="L7" s="37"/>
      <c r="M7" s="37">
        <f>IF(AND(ISNUMBER($M$3),ISNUMBER(B7),B7&lt;&gt;0),($M$3/27)/B7,"")</f>
      </c>
      <c r="O7" s="38">
        <f>IF(AND(ISNUMBER(H7),ISNUMBER(M7)),H7-M7,"")</f>
      </c>
      <c r="Q7" s="37"/>
      <c r="R7" s="37"/>
      <c r="S7" s="37"/>
      <c r="T7" s="37"/>
      <c r="U7" s="37">
        <f>IF(AND(ISNUMBER($U$3),ISNUMBER(B7),B7&lt;&gt;0),($U$3/27)/B7,"")</f>
      </c>
      <c r="W7" s="38">
        <f>IF(AND(ISNUMBER(O7),ISNUMBER(U7)),O7-U7,"")</f>
      </c>
      <c r="Y7" s="36"/>
      <c r="Z7" s="37">
        <f>IF(AND(ISNUMBER(Y7),ISNUMBER(B7),B7&lt;&gt;0),Y7/B7,"")</f>
      </c>
      <c r="AB7" s="38">
        <f>IF(AND(ISNUMBER(W7),ISNUMBER(Z7)),W7-Z7,"")</f>
      </c>
      <c r="AD7" s="37">
        <f>IF(AND(ISNUMBER('Provincia Comisiones'!B3),ISNUMBER('Provincia Comisiones'!B3)),'Provincia Comisiones'!B3,"")</f>
      </c>
      <c r="AF7" s="37">
        <f>IF(AND(ISNUMBER(AB7),ISNUMBER(AD7)),AB7+AD7,"")</f>
      </c>
      <c r="AG7" s="39">
        <f>IF(AND(ISNUMBER(AF7),ISNUMBER(B7)),AF7*B7,"")</f>
      </c>
    </row>
    <row r="8" spans="1:33" x14ac:dyDescent="0.25">
      <c r="A8" s="35">
        <v>46298</v>
      </c>
      <c r="B8" s="36">
        <f>IF(OR(ISNUMBER('Provincia Venta Diaria'!J4),ISNUMBER('Provincia Venta Diaria'!K4)),(IF(ISNUMBER('Provincia Venta Diaria'!J4),'Provincia Venta Diaria'!J4,0)+IF(ISNUMBER('Provincia Venta Diaria'!K4),'Provincia Venta Diaria'!K4,0))*1000,"")</f>
      </c>
      <c r="C8" s="37">
        <f>IF(AND(ISNUMBER(PRECIO!B4),ISNUMBER(PRECIO!B4)),PRECIO!B4,"")</f>
      </c>
      <c r="D8" s="36">
        <f>IF(AND(ISNUMBER(C8),ISNUMBER(B8)),C8*B8,"")</f>
      </c>
      <c r="F8" s="37"/>
      <c r="G8" s="37"/>
      <c r="H8" s="38">
        <f>IF(AND(ISNUMBER(C8),ISNUMBER(F8),ISNUMBER(G8)),C8-F8-G8,"")</f>
      </c>
      <c r="J8" s="37"/>
      <c r="K8" s="37"/>
      <c r="L8" s="37"/>
      <c r="M8" s="37">
        <f>IF(AND(ISNUMBER($M$3),ISNUMBER(B8),B8&lt;&gt;0),($M$3/27)/B8,"")</f>
      </c>
      <c r="O8" s="38">
        <f>IF(AND(ISNUMBER(H8),ISNUMBER(M8)),H8-M8,"")</f>
      </c>
      <c r="Q8" s="37"/>
      <c r="R8" s="37"/>
      <c r="S8" s="37"/>
      <c r="T8" s="37"/>
      <c r="U8" s="37">
        <f>IF(AND(ISNUMBER($U$3),ISNUMBER(B8),B8&lt;&gt;0),($U$3/27)/B8,"")</f>
      </c>
      <c r="W8" s="38">
        <f>IF(AND(ISNUMBER(O8),ISNUMBER(U8)),O8-U8,"")</f>
      </c>
      <c r="Y8" s="36"/>
      <c r="Z8" s="37">
        <f>IF(AND(ISNUMBER(Y8),ISNUMBER(B8),B8&lt;&gt;0),Y8/B8,"")</f>
      </c>
      <c r="AB8" s="38">
        <f>IF(AND(ISNUMBER(W8),ISNUMBER(Z8)),W8-Z8,"")</f>
      </c>
      <c r="AD8" s="37">
        <f>IF(AND(ISNUMBER('Provincia Comisiones'!B4),ISNUMBER('Provincia Comisiones'!B4)),'Provincia Comisiones'!B4,"")</f>
      </c>
      <c r="AF8" s="37">
        <f>IF(AND(ISNUMBER(AB8),ISNUMBER(AD8)),AB8+AD8,"")</f>
      </c>
      <c r="AG8" s="39">
        <f>IF(AND(ISNUMBER(AF8),ISNUMBER(B8)),AF8*B8,"")</f>
      </c>
    </row>
    <row r="9" ht="18.6" customHeight="1" spans="1:33" x14ac:dyDescent="0.25">
      <c r="A9" s="40" t="s">
        <v>72</v>
      </c>
      <c r="B9" s="41">
        <f>IF(COUNT(B6:B8)=0,"",SUM(B6:B8))</f>
      </c>
      <c r="C9" s="42">
        <f>IF((IF(AND(ISNUMBER(C6),ISNUMBER(B6)),B6,0)+IF(AND(ISNUMBER(C7),ISNUMBER(B7)),B7,0)+IF(AND(ISNUMBER(C8),ISNUMBER(B8)),B8,0))=0,"",(IF(AND(ISNUMBER(C6),ISNUMBER(B6)),C6*B6,0)+IF(AND(ISNUMBER(C7),ISNUMBER(B7)),C7*B7,0)+IF(AND(ISNUMBER(C8),ISNUMBER(B8)),C8*B8,0))/(IF(AND(ISNUMBER(C6),ISNUMBER(B6)),B6,0)+IF(AND(ISNUMBER(C7),ISNUMBER(B7)),B7,0)+IF(AND(ISNUMBER(C8),ISNUMBER(B8)),B8,0)))</f>
      </c>
      <c r="D9" s="42">
        <f>IF(COUNT(D6:D8)=0,"",SUM(D6:D8))</f>
      </c>
      <c r="E9" s="43"/>
      <c r="F9" s="42">
        <f>IF((IF(AND(ISNUMBER(F6),ISNUMBER(B6)),B6,0)+IF(AND(ISNUMBER(F7),ISNUMBER(B7)),B7,0)+IF(AND(ISNUMBER(F8),ISNUMBER(B8)),B8,0))=0,"",(IF(AND(ISNUMBER(F6),ISNUMBER(B6)),F6*B6,0)+IF(AND(ISNUMBER(F7),ISNUMBER(B7)),F7*B7,0)+IF(AND(ISNUMBER(F8),ISNUMBER(B8)),F8*B8,0))/(IF(AND(ISNUMBER(F6),ISNUMBER(B6)),B6,0)+IF(AND(ISNUMBER(F7),ISNUMBER(B7)),B7,0)+IF(AND(ISNUMBER(F8),ISNUMBER(B8)),B8,0)))</f>
      </c>
      <c r="G9" s="42">
        <f>IF((IF(AND(ISNUMBER(G6),ISNUMBER(B6)),B6,0)+IF(AND(ISNUMBER(G7),ISNUMBER(B7)),B7,0)+IF(AND(ISNUMBER(G8),ISNUMBER(B8)),B8,0))=0,"",(IF(AND(ISNUMBER(G6),ISNUMBER(B6)),G6*B6,0)+IF(AND(ISNUMBER(G7),ISNUMBER(B7)),G7*B7,0)+IF(AND(ISNUMBER(G8),ISNUMBER(B8)),G8*B8,0))/(IF(AND(ISNUMBER(G6),ISNUMBER(B6)),B6,0)+IF(AND(ISNUMBER(G7),ISNUMBER(B7)),B7,0)+IF(AND(ISNUMBER(G8),ISNUMBER(B8)),B8,0)))</f>
      </c>
      <c r="H9" s="42">
        <f>IF((IF(AND(ISNUMBER(H6),ISNUMBER(B6)),B6,0)+IF(AND(ISNUMBER(H7),ISNUMBER(B7)),B7,0)+IF(AND(ISNUMBER(H8),ISNUMBER(B8)),B8,0))=0,"",(IF(AND(ISNUMBER(H6),ISNUMBER(B6)),H6*B6,0)+IF(AND(ISNUMBER(H7),ISNUMBER(B7)),H7*B7,0)+IF(AND(ISNUMBER(H8),ISNUMBER(B8)),H8*B8,0))/(IF(AND(ISNUMBER(H6),ISNUMBER(B6)),B6,0)+IF(AND(ISNUMBER(H7),ISNUMBER(B7)),B7,0)+IF(AND(ISNUMBER(H8),ISNUMBER(B8)),B8,0)))</f>
      </c>
      <c r="I9" s="43"/>
      <c r="J9" s="42"/>
      <c r="K9" s="42"/>
      <c r="L9" s="42"/>
      <c r="M9" s="42">
        <f>IF((IF(AND(ISNUMBER(M6),ISNUMBER(B6)),B6,0)+IF(AND(ISNUMBER(M7),ISNUMBER(B7)),B7,0)+IF(AND(ISNUMBER(M8),ISNUMBER(B8)),B8,0))=0,"",(IF(AND(ISNUMBER(M6),ISNUMBER(B6)),M6*B6,0)+IF(AND(ISNUMBER(M7),ISNUMBER(B7)),M7*B7,0)+IF(AND(ISNUMBER(M8),ISNUMBER(B8)),M8*B8,0))/(IF(AND(ISNUMBER(M6),ISNUMBER(B6)),B6,0)+IF(AND(ISNUMBER(M7),ISNUMBER(B7)),B7,0)+IF(AND(ISNUMBER(M8),ISNUMBER(B8)),B8,0)))</f>
      </c>
      <c r="N9" s="43"/>
      <c r="O9" s="42">
        <f>IF((IF(AND(ISNUMBER(O6),ISNUMBER(B6)),B6,0)+IF(AND(ISNUMBER(O7),ISNUMBER(B7)),B7,0)+IF(AND(ISNUMBER(O8),ISNUMBER(B8)),B8,0))=0,"",(IF(AND(ISNUMBER(O6),ISNUMBER(B6)),O6*B6,0)+IF(AND(ISNUMBER(O7),ISNUMBER(B7)),O7*B7,0)+IF(AND(ISNUMBER(O8),ISNUMBER(B8)),O8*B8,0))/(IF(AND(ISNUMBER(O6),ISNUMBER(B6)),B6,0)+IF(AND(ISNUMBER(O7),ISNUMBER(B7)),B7,0)+IF(AND(ISNUMBER(O8),ISNUMBER(B8)),B8,0)))</f>
      </c>
      <c r="P9" s="43"/>
      <c r="Q9" s="42"/>
      <c r="R9" s="42"/>
      <c r="S9" s="42"/>
      <c r="T9" s="42"/>
      <c r="U9" s="42">
        <f>IF((IF(AND(ISNUMBER(U6),ISNUMBER(B6)),B6,0)+IF(AND(ISNUMBER(U7),ISNUMBER(B7)),B7,0)+IF(AND(ISNUMBER(U8),ISNUMBER(B8)),B8,0))=0,"",(IF(AND(ISNUMBER(U6),ISNUMBER(B6)),U6*B6,0)+IF(AND(ISNUMBER(U7),ISNUMBER(B7)),U7*B7,0)+IF(AND(ISNUMBER(U8),ISNUMBER(B8)),U8*B8,0))/(IF(AND(ISNUMBER(U6),ISNUMBER(B6)),B6,0)+IF(AND(ISNUMBER(U7),ISNUMBER(B7)),B7,0)+IF(AND(ISNUMBER(U8),ISNUMBER(B8)),B8,0)))</f>
      </c>
      <c r="V9" s="43"/>
      <c r="W9" s="42">
        <f>IF((IF(AND(ISNUMBER(W6),ISNUMBER(B6)),B6,0)+IF(AND(ISNUMBER(W7),ISNUMBER(B7)),B7,0)+IF(AND(ISNUMBER(W8),ISNUMBER(B8)),B8,0))=0,"",(IF(AND(ISNUMBER(W6),ISNUMBER(B6)),W6*B6,0)+IF(AND(ISNUMBER(W7),ISNUMBER(B7)),W7*B7,0)+IF(AND(ISNUMBER(W8),ISNUMBER(B8)),W8*B8,0))/(IF(AND(ISNUMBER(W6),ISNUMBER(B6)),B6,0)+IF(AND(ISNUMBER(W7),ISNUMBER(B7)),B7,0)+IF(AND(ISNUMBER(W8),ISNUMBER(B8)),B8,0)))</f>
      </c>
      <c r="X9" s="43"/>
      <c r="Y9" s="42">
        <f>IF(COUNT(Y6:Y8)=0,"",SUM(Y6:Y8))</f>
      </c>
      <c r="Z9" s="42">
        <f>IF((IF(AND(ISNUMBER(Z6),ISNUMBER(B6)),B6,0)+IF(AND(ISNUMBER(Z7),ISNUMBER(B7)),B7,0)+IF(AND(ISNUMBER(Z8),ISNUMBER(B8)),B8,0))=0,"",(IF(AND(ISNUMBER(Z6),ISNUMBER(B6)),Z6*B6,0)+IF(AND(ISNUMBER(Z7),ISNUMBER(B7)),Z7*B7,0)+IF(AND(ISNUMBER(Z8),ISNUMBER(B8)),Z8*B8,0))/(IF(AND(ISNUMBER(Z6),ISNUMBER(B6)),B6,0)+IF(AND(ISNUMBER(Z7),ISNUMBER(B7)),B7,0)+IF(AND(ISNUMBER(Z8),ISNUMBER(B8)),B8,0)))</f>
      </c>
      <c r="AA9" s="43"/>
      <c r="AB9" s="42">
        <f>IF((IF(AND(ISNUMBER(AB6),ISNUMBER(B6)),B6,0)+IF(AND(ISNUMBER(AB7),ISNUMBER(B7)),B7,0)+IF(AND(ISNUMBER(AB8),ISNUMBER(B8)),B8,0))=0,"",(IF(AND(ISNUMBER(AB6),ISNUMBER(B6)),AB6*B6,0)+IF(AND(ISNUMBER(AB7),ISNUMBER(B7)),AB7*B7,0)+IF(AND(ISNUMBER(AB8),ISNUMBER(B8)),AB8*B8,0))/(IF(AND(ISNUMBER(AB6),ISNUMBER(B6)),B6,0)+IF(AND(ISNUMBER(AB7),ISNUMBER(B7)),B7,0)+IF(AND(ISNUMBER(AB8),ISNUMBER(B8)),B8,0)))</f>
      </c>
      <c r="AC9" s="43"/>
      <c r="AD9" s="42">
        <f>IF((IF(AND(ISNUMBER(AD6),ISNUMBER(B6)),B6,0)+IF(AND(ISNUMBER(AD7),ISNUMBER(B7)),B7,0)+IF(AND(ISNUMBER(AD8),ISNUMBER(B8)),B8,0))=0,"",(IF(AND(ISNUMBER(AD6),ISNUMBER(B6)),AD6*B6,0)+IF(AND(ISNUMBER(AD7),ISNUMBER(B7)),AD7*B7,0)+IF(AND(ISNUMBER(AD8),ISNUMBER(B8)),AD8*B8,0))/(IF(AND(ISNUMBER(AD6),ISNUMBER(B6)),B6,0)+IF(AND(ISNUMBER(AD7),ISNUMBER(B7)),B7,0)+IF(AND(ISNUMBER(AD8),ISNUMBER(B8)),B8,0)))</f>
      </c>
      <c r="AE9" s="43"/>
      <c r="AF9" s="42">
        <f>IF(OR(NOT(ISNUMBER(B9)),B9=0),"",AG9/B9)</f>
      </c>
      <c r="AG9" s="44">
        <f>IF(COUNT(AG6:AG8)=0,"",SUM(AG6:AG8))</f>
      </c>
    </row>
    <row r="11" spans="1:33" x14ac:dyDescent="0.25">
      <c r="A11" s="35">
        <v>46299</v>
      </c>
      <c r="B11" s="36">
        <f>IF(OR(ISNUMBER('Provincia Venta Diaria'!J5),ISNUMBER('Provincia Venta Diaria'!K5)),(IF(ISNUMBER('Provincia Venta Diaria'!J5),'Provincia Venta Diaria'!J5,0)+IF(ISNUMBER('Provincia Venta Diaria'!K5),'Provincia Venta Diaria'!K5,0))*1000,"")</f>
      </c>
      <c r="C11" s="37">
        <f>IF(AND(ISNUMBER(PRECIO!B5),ISNUMBER(PRECIO!B5)),PRECIO!B5,"")</f>
      </c>
      <c r="D11" s="36">
        <f>IF(AND(ISNUMBER(C11),ISNUMBER(B11)),C11*B11,"")</f>
      </c>
      <c r="F11" s="37"/>
      <c r="G11" s="37"/>
      <c r="H11" s="38">
        <f>IF(AND(ISNUMBER(C11),ISNUMBER(F11),ISNUMBER(G11)),C11-F11-G11,"")</f>
      </c>
      <c r="J11" s="37"/>
      <c r="K11" s="37"/>
      <c r="L11" s="37"/>
      <c r="M11" s="45"/>
      <c r="O11" s="38">
        <f>IF(ISNUMBER(H11),H11,"")</f>
      </c>
      <c r="Q11" s="37"/>
      <c r="R11" s="37"/>
      <c r="S11" s="37"/>
      <c r="T11" s="37"/>
      <c r="U11" s="45"/>
      <c r="W11" s="38">
        <f>IF(ISNUMBER(O11),O11,"")</f>
      </c>
      <c r="Y11" s="36"/>
      <c r="Z11" s="37">
        <f>IF(AND(ISNUMBER(Y11),ISNUMBER(B11),B11&lt;&gt;0),Y11/B11,"")</f>
      </c>
      <c r="AB11" s="38">
        <f>IF(AND(ISNUMBER(W11),ISNUMBER(Z11)),W11-Z11,"")</f>
      </c>
      <c r="AD11" s="37">
        <f>IF(AND(ISNUMBER('Provincia Comisiones'!B5),ISNUMBER('Provincia Comisiones'!B5)),'Provincia Comisiones'!B5,"")</f>
      </c>
      <c r="AF11" s="37">
        <f>IF(AND(ISNUMBER(AB11),ISNUMBER(AD11)),AB11+AD11,"")</f>
      </c>
      <c r="AG11" s="39">
        <f>IF(AND(ISNUMBER(AF11),ISNUMBER(B11)),AF11*B11,"")</f>
      </c>
    </row>
    <row r="12" spans="1:33" x14ac:dyDescent="0.25">
      <c r="A12" s="35">
        <v>46300</v>
      </c>
      <c r="B12" s="36">
        <f>IF(OR(ISNUMBER('Provincia Venta Diaria'!J6),ISNUMBER('Provincia Venta Diaria'!K6)),(IF(ISNUMBER('Provincia Venta Diaria'!J6),'Provincia Venta Diaria'!J6,0)+IF(ISNUMBER('Provincia Venta Diaria'!K6),'Provincia Venta Diaria'!K6,0))*1000,"")</f>
      </c>
      <c r="C12" s="37">
        <f>IF(AND(ISNUMBER(PRECIO!B6),ISNUMBER(PRECIO!B6)),PRECIO!B6,"")</f>
      </c>
      <c r="D12" s="36">
        <f>IF(AND(ISNUMBER(C12),ISNUMBER(B12)),C12*B12,"")</f>
      </c>
      <c r="F12" s="37"/>
      <c r="G12" s="37"/>
      <c r="H12" s="38">
        <f>IF(AND(ISNUMBER(C12),ISNUMBER(F12),ISNUMBER(G12)),C12-F12-G12,"")</f>
      </c>
      <c r="J12" s="37"/>
      <c r="K12" s="37"/>
      <c r="L12" s="37"/>
      <c r="M12" s="37">
        <f>IF(AND(ISNUMBER($M$3),ISNUMBER(B12),B12&lt;&gt;0),($M$3/27)/B12,"")</f>
      </c>
      <c r="O12" s="38">
        <f>IF(AND(ISNUMBER(H12),ISNUMBER(M12)),H12-M12,"")</f>
      </c>
      <c r="Q12" s="37"/>
      <c r="R12" s="37"/>
      <c r="S12" s="37"/>
      <c r="T12" s="37"/>
      <c r="U12" s="37">
        <f>IF(AND(ISNUMBER($U$3),ISNUMBER(B12),B12&lt;&gt;0),($U$3/27)/B12,"")</f>
      </c>
      <c r="W12" s="38">
        <f>IF(AND(ISNUMBER(O12),ISNUMBER(U12)),O12-U12,"")</f>
      </c>
      <c r="Y12" s="36"/>
      <c r="Z12" s="37">
        <f>IF(AND(ISNUMBER(Y12),ISNUMBER(B12),B12&lt;&gt;0),Y12/B12,"")</f>
      </c>
      <c r="AB12" s="38">
        <f>IF(AND(ISNUMBER(W12),ISNUMBER(Z12)),W12-Z12,"")</f>
      </c>
      <c r="AD12" s="37">
        <f>IF(AND(ISNUMBER('Provincia Comisiones'!B6),ISNUMBER('Provincia Comisiones'!B6)),'Provincia Comisiones'!B6,"")</f>
      </c>
      <c r="AF12" s="37">
        <f>IF(AND(ISNUMBER(AB12),ISNUMBER(AD12)),AB12+AD12,"")</f>
      </c>
      <c r="AG12" s="39">
        <f>IF(AND(ISNUMBER(AF12),ISNUMBER(B12)),AF12*B12,"")</f>
      </c>
    </row>
    <row r="13" spans="1:33" x14ac:dyDescent="0.25">
      <c r="A13" s="35">
        <v>46301</v>
      </c>
      <c r="B13" s="36">
        <f>IF(OR(ISNUMBER('Provincia Venta Diaria'!J7),ISNUMBER('Provincia Venta Diaria'!K7)),(IF(ISNUMBER('Provincia Venta Diaria'!J7),'Provincia Venta Diaria'!J7,0)+IF(ISNUMBER('Provincia Venta Diaria'!K7),'Provincia Venta Diaria'!K7,0))*1000,"")</f>
      </c>
      <c r="C13" s="37">
        <f>IF(AND(ISNUMBER(PRECIO!B7),ISNUMBER(PRECIO!B7)),PRECIO!B7,"")</f>
      </c>
      <c r="D13" s="36">
        <f>IF(AND(ISNUMBER(C13),ISNUMBER(B13)),C13*B13,"")</f>
      </c>
      <c r="F13" s="37"/>
      <c r="G13" s="37"/>
      <c r="H13" s="38">
        <f>IF(AND(ISNUMBER(C13),ISNUMBER(F13),ISNUMBER(G13)),C13-F13-G13,"")</f>
      </c>
      <c r="J13" s="37"/>
      <c r="K13" s="37"/>
      <c r="L13" s="37"/>
      <c r="M13" s="37">
        <f>IF(AND(ISNUMBER($M$3),ISNUMBER(B13),B13&lt;&gt;0),($M$3/27)/B13,"")</f>
      </c>
      <c r="O13" s="38">
        <f>IF(AND(ISNUMBER(H13),ISNUMBER(M13)),H13-M13,"")</f>
      </c>
      <c r="Q13" s="37"/>
      <c r="R13" s="37"/>
      <c r="S13" s="37"/>
      <c r="T13" s="37"/>
      <c r="U13" s="37">
        <f>IF(AND(ISNUMBER($U$3),ISNUMBER(B13),B13&lt;&gt;0),($U$3/27)/B13,"")</f>
      </c>
      <c r="W13" s="38">
        <f>IF(AND(ISNUMBER(O13),ISNUMBER(U13)),O13-U13,"")</f>
      </c>
      <c r="Y13" s="36"/>
      <c r="Z13" s="37">
        <f>IF(AND(ISNUMBER(Y13),ISNUMBER(B13),B13&lt;&gt;0),Y13/B13,"")</f>
      </c>
      <c r="AB13" s="38">
        <f>IF(AND(ISNUMBER(W13),ISNUMBER(Z13)),W13-Z13,"")</f>
      </c>
      <c r="AD13" s="37">
        <f>IF(AND(ISNUMBER('Provincia Comisiones'!B7),ISNUMBER('Provincia Comisiones'!B7)),'Provincia Comisiones'!B7,"")</f>
      </c>
      <c r="AF13" s="37">
        <f>IF(AND(ISNUMBER(AB13),ISNUMBER(AD13)),AB13+AD13,"")</f>
      </c>
      <c r="AG13" s="39">
        <f>IF(AND(ISNUMBER(AF13),ISNUMBER(B13)),AF13*B13,"")</f>
      </c>
    </row>
    <row r="14" spans="1:33" x14ac:dyDescent="0.25">
      <c r="A14" s="35">
        <v>46302</v>
      </c>
      <c r="B14" s="36">
        <f>IF(OR(ISNUMBER('Provincia Venta Diaria'!J8),ISNUMBER('Provincia Venta Diaria'!K8)),(IF(ISNUMBER('Provincia Venta Diaria'!J8),'Provincia Venta Diaria'!J8,0)+IF(ISNUMBER('Provincia Venta Diaria'!K8),'Provincia Venta Diaria'!K8,0))*1000,"")</f>
      </c>
      <c r="C14" s="37">
        <f>IF(AND(ISNUMBER(PRECIO!B8),ISNUMBER(PRECIO!B8)),PRECIO!B8,"")</f>
      </c>
      <c r="D14" s="36">
        <f>IF(AND(ISNUMBER(C14),ISNUMBER(B14)),C14*B14,"")</f>
      </c>
      <c r="F14" s="37"/>
      <c r="G14" s="37"/>
      <c r="H14" s="38">
        <f>IF(AND(ISNUMBER(C14),ISNUMBER(F14),ISNUMBER(G14)),C14-F14-G14,"")</f>
      </c>
      <c r="J14" s="37"/>
      <c r="K14" s="37"/>
      <c r="L14" s="37"/>
      <c r="M14" s="37">
        <f>IF(AND(ISNUMBER($M$3),ISNUMBER(B14),B14&lt;&gt;0),($M$3/27)/B14,"")</f>
      </c>
      <c r="O14" s="38">
        <f>IF(AND(ISNUMBER(H14),ISNUMBER(M14)),H14-M14,"")</f>
      </c>
      <c r="Q14" s="37"/>
      <c r="R14" s="37"/>
      <c r="S14" s="37"/>
      <c r="T14" s="37"/>
      <c r="U14" s="37">
        <f>IF(AND(ISNUMBER($U$3),ISNUMBER(B14),B14&lt;&gt;0),($U$3/27)/B14,"")</f>
      </c>
      <c r="W14" s="38">
        <f>IF(AND(ISNUMBER(O14),ISNUMBER(U14)),O14-U14,"")</f>
      </c>
      <c r="Y14" s="36"/>
      <c r="Z14" s="37">
        <f>IF(AND(ISNUMBER(Y14),ISNUMBER(B14),B14&lt;&gt;0),Y14/B14,"")</f>
      </c>
      <c r="AB14" s="38">
        <f>IF(AND(ISNUMBER(W14),ISNUMBER(Z14)),W14-Z14,"")</f>
      </c>
      <c r="AD14" s="37">
        <f>IF(AND(ISNUMBER('Provincia Comisiones'!B8),ISNUMBER('Provincia Comisiones'!B8)),'Provincia Comisiones'!B8,"")</f>
      </c>
      <c r="AF14" s="37">
        <f>IF(AND(ISNUMBER(AB14),ISNUMBER(AD14)),AB14+AD14,"")</f>
      </c>
      <c r="AG14" s="39">
        <f>IF(AND(ISNUMBER(AF14),ISNUMBER(B14)),AF14*B14,"")</f>
      </c>
    </row>
    <row r="15" spans="1:33" x14ac:dyDescent="0.25">
      <c r="A15" s="35">
        <v>46303</v>
      </c>
      <c r="B15" s="36">
        <f>IF(OR(ISNUMBER('Provincia Venta Diaria'!J9),ISNUMBER('Provincia Venta Diaria'!K9)),(IF(ISNUMBER('Provincia Venta Diaria'!J9),'Provincia Venta Diaria'!J9,0)+IF(ISNUMBER('Provincia Venta Diaria'!K9),'Provincia Venta Diaria'!K9,0))*1000,"")</f>
      </c>
      <c r="C15" s="37">
        <f>IF(AND(ISNUMBER(PRECIO!B9),ISNUMBER(PRECIO!B9)),PRECIO!B9,"")</f>
      </c>
      <c r="D15" s="36">
        <f>IF(AND(ISNUMBER(C15),ISNUMBER(B15)),C15*B15,"")</f>
      </c>
      <c r="F15" s="37"/>
      <c r="G15" s="37"/>
      <c r="H15" s="38">
        <f>IF(AND(ISNUMBER(C15),ISNUMBER(F15),ISNUMBER(G15)),C15-F15-G15,"")</f>
      </c>
      <c r="J15" s="37"/>
      <c r="K15" s="37"/>
      <c r="L15" s="37"/>
      <c r="M15" s="37">
        <f>IF(AND(ISNUMBER($M$3),ISNUMBER(B15),B15&lt;&gt;0),($M$3/27)/B15,"")</f>
      </c>
      <c r="O15" s="38">
        <f>IF(AND(ISNUMBER(H15),ISNUMBER(M15)),H15-M15,"")</f>
      </c>
      <c r="Q15" s="37"/>
      <c r="R15" s="37"/>
      <c r="S15" s="37"/>
      <c r="T15" s="37"/>
      <c r="U15" s="37">
        <f>IF(AND(ISNUMBER($U$3),ISNUMBER(B15),B15&lt;&gt;0),($U$3/27)/B15,"")</f>
      </c>
      <c r="W15" s="38">
        <f>IF(AND(ISNUMBER(O15),ISNUMBER(U15)),O15-U15,"")</f>
      </c>
      <c r="Y15" s="36"/>
      <c r="Z15" s="37">
        <f>IF(AND(ISNUMBER(Y15),ISNUMBER(B15),B15&lt;&gt;0),Y15/B15,"")</f>
      </c>
      <c r="AB15" s="38">
        <f>IF(AND(ISNUMBER(W15),ISNUMBER(Z15)),W15-Z15,"")</f>
      </c>
      <c r="AD15" s="37">
        <f>IF(AND(ISNUMBER('Provincia Comisiones'!B9),ISNUMBER('Provincia Comisiones'!B9)),'Provincia Comisiones'!B9,"")</f>
      </c>
      <c r="AF15" s="37">
        <f>IF(AND(ISNUMBER(AB15),ISNUMBER(AD15)),AB15+AD15,"")</f>
      </c>
      <c r="AG15" s="39">
        <f>IF(AND(ISNUMBER(AF15),ISNUMBER(B15)),AF15*B15,"")</f>
      </c>
    </row>
    <row r="16" spans="1:33" x14ac:dyDescent="0.25">
      <c r="A16" s="35">
        <v>46304</v>
      </c>
      <c r="B16" s="36">
        <f>IF(OR(ISNUMBER('Provincia Venta Diaria'!J10),ISNUMBER('Provincia Venta Diaria'!K10)),(IF(ISNUMBER('Provincia Venta Diaria'!J10),'Provincia Venta Diaria'!J10,0)+IF(ISNUMBER('Provincia Venta Diaria'!K10),'Provincia Venta Diaria'!K10,0))*1000,"")</f>
      </c>
      <c r="C16" s="37">
        <f>IF(AND(ISNUMBER(PRECIO!B10),ISNUMBER(PRECIO!B10)),PRECIO!B10,"")</f>
      </c>
      <c r="D16" s="36">
        <f>IF(AND(ISNUMBER(C16),ISNUMBER(B16)),C16*B16,"")</f>
      </c>
      <c r="F16" s="37"/>
      <c r="G16" s="37"/>
      <c r="H16" s="38">
        <f>IF(AND(ISNUMBER(C16),ISNUMBER(F16),ISNUMBER(G16)),C16-F16-G16,"")</f>
      </c>
      <c r="J16" s="37"/>
      <c r="K16" s="37"/>
      <c r="L16" s="37"/>
      <c r="M16" s="37">
        <f>IF(AND(ISNUMBER($M$3),ISNUMBER(B16),B16&lt;&gt;0),($M$3/27)/B16,"")</f>
      </c>
      <c r="O16" s="38">
        <f>IF(AND(ISNUMBER(H16),ISNUMBER(M16)),H16-M16,"")</f>
      </c>
      <c r="Q16" s="37"/>
      <c r="R16" s="37"/>
      <c r="S16" s="37"/>
      <c r="T16" s="37"/>
      <c r="U16" s="37">
        <f>IF(AND(ISNUMBER($U$3),ISNUMBER(B16),B16&lt;&gt;0),($U$3/27)/B16,"")</f>
      </c>
      <c r="W16" s="38">
        <f>IF(AND(ISNUMBER(O16),ISNUMBER(U16)),O16-U16,"")</f>
      </c>
      <c r="Y16" s="36"/>
      <c r="Z16" s="37">
        <f>IF(AND(ISNUMBER(Y16),ISNUMBER(B16),B16&lt;&gt;0),Y16/B16,"")</f>
      </c>
      <c r="AB16" s="38">
        <f>IF(AND(ISNUMBER(W16),ISNUMBER(Z16)),W16-Z16,"")</f>
      </c>
      <c r="AD16" s="37">
        <f>IF(AND(ISNUMBER('Provincia Comisiones'!B10),ISNUMBER('Provincia Comisiones'!B10)),'Provincia Comisiones'!B10,"")</f>
      </c>
      <c r="AF16" s="37">
        <f>IF(AND(ISNUMBER(AB16),ISNUMBER(AD16)),AB16+AD16,"")</f>
      </c>
      <c r="AG16" s="39">
        <f>IF(AND(ISNUMBER(AF16),ISNUMBER(B16)),AF16*B16,"")</f>
      </c>
    </row>
    <row r="17" spans="1:33" x14ac:dyDescent="0.25">
      <c r="A17" s="35">
        <v>46305</v>
      </c>
      <c r="B17" s="36">
        <f>IF(OR(ISNUMBER('Provincia Venta Diaria'!J11),ISNUMBER('Provincia Venta Diaria'!K11)),(IF(ISNUMBER('Provincia Venta Diaria'!J11),'Provincia Venta Diaria'!J11,0)+IF(ISNUMBER('Provincia Venta Diaria'!K11),'Provincia Venta Diaria'!K11,0))*1000,"")</f>
      </c>
      <c r="C17" s="37">
        <f>IF(AND(ISNUMBER(PRECIO!B11),ISNUMBER(PRECIO!B11)),PRECIO!B11,"")</f>
      </c>
      <c r="D17" s="36">
        <f>IF(AND(ISNUMBER(C17),ISNUMBER(B17)),C17*B17,"")</f>
      </c>
      <c r="F17" s="37"/>
      <c r="G17" s="37"/>
      <c r="H17" s="38">
        <f>IF(AND(ISNUMBER(C17),ISNUMBER(F17),ISNUMBER(G17)),C17-F17-G17,"")</f>
      </c>
      <c r="J17" s="37"/>
      <c r="K17" s="37"/>
      <c r="L17" s="37"/>
      <c r="M17" s="37">
        <f>IF(AND(ISNUMBER($M$3),ISNUMBER(B17),B17&lt;&gt;0),($M$3/27)/B17,"")</f>
      </c>
      <c r="O17" s="38">
        <f>IF(AND(ISNUMBER(H17),ISNUMBER(M17)),H17-M17,"")</f>
      </c>
      <c r="Q17" s="37"/>
      <c r="R17" s="37"/>
      <c r="S17" s="37"/>
      <c r="T17" s="37"/>
      <c r="U17" s="37">
        <f>IF(AND(ISNUMBER($U$3),ISNUMBER(B17),B17&lt;&gt;0),($U$3/27)/B17,"")</f>
      </c>
      <c r="W17" s="38">
        <f>IF(AND(ISNUMBER(O17),ISNUMBER(U17)),O17-U17,"")</f>
      </c>
      <c r="Y17" s="36"/>
      <c r="Z17" s="37">
        <f>IF(AND(ISNUMBER(Y17),ISNUMBER(B17),B17&lt;&gt;0),Y17/B17,"")</f>
      </c>
      <c r="AB17" s="38">
        <f>IF(AND(ISNUMBER(W17),ISNUMBER(Z17)),W17-Z17,"")</f>
      </c>
      <c r="AD17" s="37">
        <f>IF(AND(ISNUMBER('Provincia Comisiones'!B11),ISNUMBER('Provincia Comisiones'!B11)),'Provincia Comisiones'!B11,"")</f>
      </c>
      <c r="AF17" s="37">
        <f>IF(AND(ISNUMBER(AB17),ISNUMBER(AD17)),AB17+AD17,"")</f>
      </c>
      <c r="AG17" s="39">
        <f>IF(AND(ISNUMBER(AF17),ISNUMBER(B17)),AF17*B17,"")</f>
      </c>
    </row>
    <row r="18" ht="18.6" customHeight="1" spans="1:33" x14ac:dyDescent="0.25">
      <c r="A18" s="40" t="s">
        <v>73</v>
      </c>
      <c r="B18" s="41">
        <f>IF(COUNT(B11:B17)=0,"",SUM(B11:B17))</f>
      </c>
      <c r="C18" s="42">
        <f>IF(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=0,"",(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)/(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))</f>
      </c>
      <c r="D18" s="42">
        <f>IF(COUNT(D11:D17)=0,"",SUM(D11:D17))</f>
      </c>
      <c r="E18" s="43"/>
      <c r="F18" s="42">
        <f>IF(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=0,"",(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)/(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))</f>
      </c>
      <c r="G18" s="42">
        <f>IF(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=0,"",(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)/(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))</f>
      </c>
      <c r="H18" s="42">
        <f>IF(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=0,"",(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)/(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))</f>
      </c>
      <c r="I18" s="43"/>
      <c r="J18" s="42"/>
      <c r="K18" s="42"/>
      <c r="L18" s="42"/>
      <c r="M18" s="42">
        <f>IF(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=0,"",(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)/(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))</f>
      </c>
      <c r="N18" s="43"/>
      <c r="O18" s="42">
        <f>IF(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=0,"",(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)/(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))</f>
      </c>
      <c r="P18" s="43"/>
      <c r="Q18" s="42"/>
      <c r="R18" s="42"/>
      <c r="S18" s="42"/>
      <c r="T18" s="42"/>
      <c r="U18" s="42">
        <f>IF(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=0,"",(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)/(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))</f>
      </c>
      <c r="V18" s="43"/>
      <c r="W18" s="42">
        <f>IF(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=0,"",(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)/(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))</f>
      </c>
      <c r="X18" s="43"/>
      <c r="Y18" s="42">
        <f>IF(COUNT(Y11:Y17)=0,"",SUM(Y11:Y17))</f>
      </c>
      <c r="Z18" s="42">
        <f>IF(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=0,"",(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)/(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))</f>
      </c>
      <c r="AA18" s="43"/>
      <c r="AB18" s="42">
        <f>IF(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=0,"",(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)/(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))</f>
      </c>
      <c r="AC18" s="43"/>
      <c r="AD18" s="42">
        <f>IF(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=0,"",(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)/(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))</f>
      </c>
      <c r="AE18" s="43"/>
      <c r="AF18" s="42">
        <f>IF(OR(NOT(ISNUMBER(B18)),B18=0),"",AG18/B18)</f>
      </c>
      <c r="AG18" s="44">
        <f>IF(COUNT(AG11:AG17)=0,"",SUM(AG11:AG17))</f>
      </c>
    </row>
    <row r="20" spans="1:33" x14ac:dyDescent="0.25">
      <c r="A20" s="35">
        <v>46306</v>
      </c>
      <c r="B20" s="36">
        <f>IF(OR(ISNUMBER('Provincia Venta Diaria'!J12),ISNUMBER('Provincia Venta Diaria'!K12)),(IF(ISNUMBER('Provincia Venta Diaria'!J12),'Provincia Venta Diaria'!J12,0)+IF(ISNUMBER('Provincia Venta Diaria'!K12),'Provincia Venta Diaria'!K12,0))*1000,"")</f>
      </c>
      <c r="C20" s="37">
        <f>IF(AND(ISNUMBER(PRECIO!B12),ISNUMBER(PRECIO!B12)),PRECIO!B12,"")</f>
      </c>
      <c r="D20" s="36">
        <f>IF(AND(ISNUMBER(C20),ISNUMBER(B20)),C20*B20,"")</f>
      </c>
      <c r="F20" s="37"/>
      <c r="G20" s="37"/>
      <c r="H20" s="38">
        <f>IF(AND(ISNUMBER(C20),ISNUMBER(F20),ISNUMBER(G20)),C20-F20-G20,"")</f>
      </c>
      <c r="J20" s="37"/>
      <c r="K20" s="37"/>
      <c r="L20" s="37"/>
      <c r="M20" s="45"/>
      <c r="O20" s="38">
        <f>IF(ISNUMBER(H20),H20,"")</f>
      </c>
      <c r="Q20" s="37"/>
      <c r="R20" s="37"/>
      <c r="S20" s="37"/>
      <c r="T20" s="37"/>
      <c r="U20" s="45"/>
      <c r="W20" s="38">
        <f>IF(ISNUMBER(O20),O20,"")</f>
      </c>
      <c r="Y20" s="36"/>
      <c r="Z20" s="37">
        <f>IF(AND(ISNUMBER(Y20),ISNUMBER(B20),B20&lt;&gt;0),Y20/B20,"")</f>
      </c>
      <c r="AB20" s="38">
        <f>IF(AND(ISNUMBER(W20),ISNUMBER(Z20)),W20-Z20,"")</f>
      </c>
      <c r="AD20" s="37">
        <f>IF(AND(ISNUMBER('Provincia Comisiones'!B12),ISNUMBER('Provincia Comisiones'!B12)),'Provincia Comisiones'!B12,"")</f>
      </c>
      <c r="AF20" s="37">
        <f>IF(AND(ISNUMBER(AB20),ISNUMBER(AD20)),AB20+AD20,"")</f>
      </c>
      <c r="AG20" s="39">
        <f>IF(AND(ISNUMBER(AF20),ISNUMBER(B20)),AF20*B20,"")</f>
      </c>
    </row>
    <row r="21" spans="1:33" x14ac:dyDescent="0.25">
      <c r="A21" s="35">
        <v>46307</v>
      </c>
      <c r="B21" s="36">
        <f>IF(OR(ISNUMBER('Provincia Venta Diaria'!J13),ISNUMBER('Provincia Venta Diaria'!K13)),(IF(ISNUMBER('Provincia Venta Diaria'!J13),'Provincia Venta Diaria'!J13,0)+IF(ISNUMBER('Provincia Venta Diaria'!K13),'Provincia Venta Diaria'!K13,0))*1000,"")</f>
      </c>
      <c r="C21" s="37">
        <f>IF(AND(ISNUMBER(PRECIO!B13),ISNUMBER(PRECIO!B13)),PRECIO!B13,"")</f>
      </c>
      <c r="D21" s="36">
        <f>IF(AND(ISNUMBER(C21),ISNUMBER(B21)),C21*B21,"")</f>
      </c>
      <c r="F21" s="37"/>
      <c r="G21" s="37"/>
      <c r="H21" s="38">
        <f>IF(AND(ISNUMBER(C21),ISNUMBER(F21),ISNUMBER(G21)),C21-F21-G21,"")</f>
      </c>
      <c r="J21" s="37"/>
      <c r="K21" s="37"/>
      <c r="L21" s="37"/>
      <c r="M21" s="37">
        <f>IF(AND(ISNUMBER($M$3),ISNUMBER(B21),B21&lt;&gt;0),($M$3/27)/B21,"")</f>
      </c>
      <c r="O21" s="38">
        <f>IF(AND(ISNUMBER(H21),ISNUMBER(M21)),H21-M21,"")</f>
      </c>
      <c r="Q21" s="37"/>
      <c r="R21" s="37"/>
      <c r="S21" s="37"/>
      <c r="T21" s="37"/>
      <c r="U21" s="37">
        <f>IF(AND(ISNUMBER($U$3),ISNUMBER(B21),B21&lt;&gt;0),($U$3/27)/B21,"")</f>
      </c>
      <c r="W21" s="38">
        <f>IF(AND(ISNUMBER(O21),ISNUMBER(U21)),O21-U21,"")</f>
      </c>
      <c r="Y21" s="36"/>
      <c r="Z21" s="37">
        <f>IF(AND(ISNUMBER(Y21),ISNUMBER(B21),B21&lt;&gt;0),Y21/B21,"")</f>
      </c>
      <c r="AB21" s="38">
        <f>IF(AND(ISNUMBER(W21),ISNUMBER(Z21)),W21-Z21,"")</f>
      </c>
      <c r="AD21" s="37">
        <f>IF(AND(ISNUMBER('Provincia Comisiones'!B13),ISNUMBER('Provincia Comisiones'!B13)),'Provincia Comisiones'!B13,"")</f>
      </c>
      <c r="AF21" s="37">
        <f>IF(AND(ISNUMBER(AB21),ISNUMBER(AD21)),AB21+AD21,"")</f>
      </c>
      <c r="AG21" s="39">
        <f>IF(AND(ISNUMBER(AF21),ISNUMBER(B21)),AF21*B21,"")</f>
      </c>
    </row>
    <row r="22" spans="1:33" x14ac:dyDescent="0.25">
      <c r="A22" s="35">
        <v>46308</v>
      </c>
      <c r="B22" s="36">
        <f>IF(OR(ISNUMBER('Provincia Venta Diaria'!J14),ISNUMBER('Provincia Venta Diaria'!K14)),(IF(ISNUMBER('Provincia Venta Diaria'!J14),'Provincia Venta Diaria'!J14,0)+IF(ISNUMBER('Provincia Venta Diaria'!K14),'Provincia Venta Diaria'!K14,0))*1000,"")</f>
      </c>
      <c r="C22" s="37">
        <f>IF(AND(ISNUMBER(PRECIO!B14),ISNUMBER(PRECIO!B14)),PRECIO!B14,"")</f>
      </c>
      <c r="D22" s="36">
        <f>IF(AND(ISNUMBER(C22),ISNUMBER(B22)),C22*B22,"")</f>
      </c>
      <c r="F22" s="37"/>
      <c r="G22" s="37"/>
      <c r="H22" s="38">
        <f>IF(AND(ISNUMBER(C22),ISNUMBER(F22),ISNUMBER(G22)),C22-F22-G22,"")</f>
      </c>
      <c r="J22" s="37"/>
      <c r="K22" s="37"/>
      <c r="L22" s="37"/>
      <c r="M22" s="37">
        <f>IF(AND(ISNUMBER($M$3),ISNUMBER(B22),B22&lt;&gt;0),($M$3/27)/B22,"")</f>
      </c>
      <c r="O22" s="38">
        <f>IF(AND(ISNUMBER(H22),ISNUMBER(M22)),H22-M22,"")</f>
      </c>
      <c r="Q22" s="37"/>
      <c r="R22" s="37"/>
      <c r="S22" s="37"/>
      <c r="T22" s="37"/>
      <c r="U22" s="37">
        <f>IF(AND(ISNUMBER($U$3),ISNUMBER(B22),B22&lt;&gt;0),($U$3/27)/B22,"")</f>
      </c>
      <c r="W22" s="38">
        <f>IF(AND(ISNUMBER(O22),ISNUMBER(U22)),O22-U22,"")</f>
      </c>
      <c r="Y22" s="36"/>
      <c r="Z22" s="37">
        <f>IF(AND(ISNUMBER(Y22),ISNUMBER(B22),B22&lt;&gt;0),Y22/B22,"")</f>
      </c>
      <c r="AB22" s="38">
        <f>IF(AND(ISNUMBER(W22),ISNUMBER(Z22)),W22-Z22,"")</f>
      </c>
      <c r="AD22" s="37">
        <f>IF(AND(ISNUMBER('Provincia Comisiones'!B14),ISNUMBER('Provincia Comisiones'!B14)),'Provincia Comisiones'!B14,"")</f>
      </c>
      <c r="AF22" s="37">
        <f>IF(AND(ISNUMBER(AB22),ISNUMBER(AD22)),AB22+AD22,"")</f>
      </c>
      <c r="AG22" s="39">
        <f>IF(AND(ISNUMBER(AF22),ISNUMBER(B22)),AF22*B22,"")</f>
      </c>
    </row>
    <row r="23" spans="1:33" x14ac:dyDescent="0.25">
      <c r="A23" s="35">
        <v>46309</v>
      </c>
      <c r="B23" s="36">
        <f>IF(OR(ISNUMBER('Provincia Venta Diaria'!J15),ISNUMBER('Provincia Venta Diaria'!K15)),(IF(ISNUMBER('Provincia Venta Diaria'!J15),'Provincia Venta Diaria'!J15,0)+IF(ISNUMBER('Provincia Venta Diaria'!K15),'Provincia Venta Diaria'!K15,0))*1000,"")</f>
      </c>
      <c r="C23" s="37">
        <f>IF(AND(ISNUMBER(PRECIO!B15),ISNUMBER(PRECIO!B15)),PRECIO!B15,"")</f>
      </c>
      <c r="D23" s="36">
        <f>IF(AND(ISNUMBER(C23),ISNUMBER(B23)),C23*B23,"")</f>
      </c>
      <c r="F23" s="37"/>
      <c r="G23" s="37"/>
      <c r="H23" s="38">
        <f>IF(AND(ISNUMBER(C23),ISNUMBER(F23),ISNUMBER(G23)),C23-F23-G23,"")</f>
      </c>
      <c r="J23" s="37"/>
      <c r="K23" s="37"/>
      <c r="L23" s="37"/>
      <c r="M23" s="37">
        <f>IF(AND(ISNUMBER($M$3),ISNUMBER(B23),B23&lt;&gt;0),($M$3/27)/B23,"")</f>
      </c>
      <c r="O23" s="38">
        <f>IF(AND(ISNUMBER(H23),ISNUMBER(M23)),H23-M23,"")</f>
      </c>
      <c r="Q23" s="37"/>
      <c r="R23" s="37"/>
      <c r="S23" s="37"/>
      <c r="T23" s="37"/>
      <c r="U23" s="37">
        <f>IF(AND(ISNUMBER($U$3),ISNUMBER(B23),B23&lt;&gt;0),($U$3/27)/B23,"")</f>
      </c>
      <c r="W23" s="38">
        <f>IF(AND(ISNUMBER(O23),ISNUMBER(U23)),O23-U23,"")</f>
      </c>
      <c r="Y23" s="36"/>
      <c r="Z23" s="37">
        <f>IF(AND(ISNUMBER(Y23),ISNUMBER(B23),B23&lt;&gt;0),Y23/B23,"")</f>
      </c>
      <c r="AB23" s="38">
        <f>IF(AND(ISNUMBER(W23),ISNUMBER(Z23)),W23-Z23,"")</f>
      </c>
      <c r="AD23" s="37">
        <f>IF(AND(ISNUMBER('Provincia Comisiones'!B15),ISNUMBER('Provincia Comisiones'!B15)),'Provincia Comisiones'!B15,"")</f>
      </c>
      <c r="AF23" s="37">
        <f>IF(AND(ISNUMBER(AB23),ISNUMBER(AD23)),AB23+AD23,"")</f>
      </c>
      <c r="AG23" s="39">
        <f>IF(AND(ISNUMBER(AF23),ISNUMBER(B23)),AF23*B23,"")</f>
      </c>
    </row>
    <row r="24" spans="1:33" x14ac:dyDescent="0.25">
      <c r="A24" s="35">
        <v>46310</v>
      </c>
      <c r="B24" s="36">
        <f>IF(OR(ISNUMBER('Provincia Venta Diaria'!J16),ISNUMBER('Provincia Venta Diaria'!K16)),(IF(ISNUMBER('Provincia Venta Diaria'!J16),'Provincia Venta Diaria'!J16,0)+IF(ISNUMBER('Provincia Venta Diaria'!K16),'Provincia Venta Diaria'!K16,0))*1000,"")</f>
      </c>
      <c r="C24" s="37">
        <f>IF(AND(ISNUMBER(PRECIO!B16),ISNUMBER(PRECIO!B16)),PRECIO!B16,"")</f>
      </c>
      <c r="D24" s="36">
        <f>IF(AND(ISNUMBER(C24),ISNUMBER(B24)),C24*B24,"")</f>
      </c>
      <c r="F24" s="37"/>
      <c r="G24" s="37"/>
      <c r="H24" s="38">
        <f>IF(AND(ISNUMBER(C24),ISNUMBER(F24),ISNUMBER(G24)),C24-F24-G24,"")</f>
      </c>
      <c r="J24" s="37"/>
      <c r="K24" s="37"/>
      <c r="L24" s="37"/>
      <c r="M24" s="37">
        <f>IF(AND(ISNUMBER($M$3),ISNUMBER(B24),B24&lt;&gt;0),($M$3/27)/B24,"")</f>
      </c>
      <c r="O24" s="38">
        <f>IF(AND(ISNUMBER(H24),ISNUMBER(M24)),H24-M24,"")</f>
      </c>
      <c r="Q24" s="37"/>
      <c r="R24" s="37"/>
      <c r="S24" s="37"/>
      <c r="T24" s="37"/>
      <c r="U24" s="37">
        <f>IF(AND(ISNUMBER($U$3),ISNUMBER(B24),B24&lt;&gt;0),($U$3/27)/B24,"")</f>
      </c>
      <c r="W24" s="38">
        <f>IF(AND(ISNUMBER(O24),ISNUMBER(U24)),O24-U24,"")</f>
      </c>
      <c r="Y24" s="36"/>
      <c r="Z24" s="37">
        <f>IF(AND(ISNUMBER(Y24),ISNUMBER(B24),B24&lt;&gt;0),Y24/B24,"")</f>
      </c>
      <c r="AB24" s="38">
        <f>IF(AND(ISNUMBER(W24),ISNUMBER(Z24)),W24-Z24,"")</f>
      </c>
      <c r="AD24" s="37">
        <f>IF(AND(ISNUMBER('Provincia Comisiones'!B16),ISNUMBER('Provincia Comisiones'!B16)),'Provincia Comisiones'!B16,"")</f>
      </c>
      <c r="AF24" s="37">
        <f>IF(AND(ISNUMBER(AB24),ISNUMBER(AD24)),AB24+AD24,"")</f>
      </c>
      <c r="AG24" s="39">
        <f>IF(AND(ISNUMBER(AF24),ISNUMBER(B24)),AF24*B24,"")</f>
      </c>
    </row>
    <row r="25" spans="1:33" x14ac:dyDescent="0.25">
      <c r="A25" s="35">
        <v>46311</v>
      </c>
      <c r="B25" s="36">
        <f>IF(OR(ISNUMBER('Provincia Venta Diaria'!J17),ISNUMBER('Provincia Venta Diaria'!K17)),(IF(ISNUMBER('Provincia Venta Diaria'!J17),'Provincia Venta Diaria'!J17,0)+IF(ISNUMBER('Provincia Venta Diaria'!K17),'Provincia Venta Diaria'!K17,0))*1000,"")</f>
      </c>
      <c r="C25" s="37">
        <f>IF(AND(ISNUMBER(PRECIO!B17),ISNUMBER(PRECIO!B17)),PRECIO!B17,"")</f>
      </c>
      <c r="D25" s="36">
        <f>IF(AND(ISNUMBER(C25),ISNUMBER(B25)),C25*B25,"")</f>
      </c>
      <c r="F25" s="37"/>
      <c r="G25" s="37"/>
      <c r="H25" s="38">
        <f>IF(AND(ISNUMBER(C25),ISNUMBER(F25),ISNUMBER(G25)),C25-F25-G25,"")</f>
      </c>
      <c r="J25" s="37"/>
      <c r="K25" s="37"/>
      <c r="L25" s="37"/>
      <c r="M25" s="37">
        <f>IF(AND(ISNUMBER($M$3),ISNUMBER(B25),B25&lt;&gt;0),($M$3/27)/B25,"")</f>
      </c>
      <c r="O25" s="38">
        <f>IF(AND(ISNUMBER(H25),ISNUMBER(M25)),H25-M25,"")</f>
      </c>
      <c r="Q25" s="37"/>
      <c r="R25" s="37"/>
      <c r="S25" s="37"/>
      <c r="T25" s="37"/>
      <c r="U25" s="37">
        <f>IF(AND(ISNUMBER($U$3),ISNUMBER(B25),B25&lt;&gt;0),($U$3/27)/B25,"")</f>
      </c>
      <c r="W25" s="38">
        <f>IF(AND(ISNUMBER(O25),ISNUMBER(U25)),O25-U25,"")</f>
      </c>
      <c r="Y25" s="36"/>
      <c r="Z25" s="37">
        <f>IF(AND(ISNUMBER(Y25),ISNUMBER(B25),B25&lt;&gt;0),Y25/B25,"")</f>
      </c>
      <c r="AB25" s="38">
        <f>IF(AND(ISNUMBER(W25),ISNUMBER(Z25)),W25-Z25,"")</f>
      </c>
      <c r="AD25" s="37">
        <f>IF(AND(ISNUMBER('Provincia Comisiones'!B17),ISNUMBER('Provincia Comisiones'!B17)),'Provincia Comisiones'!B17,"")</f>
      </c>
      <c r="AF25" s="37">
        <f>IF(AND(ISNUMBER(AB25),ISNUMBER(AD25)),AB25+AD25,"")</f>
      </c>
      <c r="AG25" s="39">
        <f>IF(AND(ISNUMBER(AF25),ISNUMBER(B25)),AF25*B25,"")</f>
      </c>
    </row>
    <row r="26" spans="1:33" x14ac:dyDescent="0.25">
      <c r="A26" s="35">
        <v>46312</v>
      </c>
      <c r="B26" s="36">
        <f>IF(OR(ISNUMBER('Provincia Venta Diaria'!J18),ISNUMBER('Provincia Venta Diaria'!K18)),(IF(ISNUMBER('Provincia Venta Diaria'!J18),'Provincia Venta Diaria'!J18,0)+IF(ISNUMBER('Provincia Venta Diaria'!K18),'Provincia Venta Diaria'!K18,0))*1000,"")</f>
      </c>
      <c r="C26" s="37">
        <f>IF(AND(ISNUMBER(PRECIO!B18),ISNUMBER(PRECIO!B18)),PRECIO!B18,"")</f>
      </c>
      <c r="D26" s="36">
        <f>IF(AND(ISNUMBER(C26),ISNUMBER(B26)),C26*B26,"")</f>
      </c>
      <c r="F26" s="37"/>
      <c r="G26" s="37"/>
      <c r="H26" s="38">
        <f>IF(AND(ISNUMBER(C26),ISNUMBER(F26),ISNUMBER(G26)),C26-F26-G26,"")</f>
      </c>
      <c r="J26" s="37"/>
      <c r="K26" s="37"/>
      <c r="L26" s="37"/>
      <c r="M26" s="37">
        <f>IF(AND(ISNUMBER($M$3),ISNUMBER(B26),B26&lt;&gt;0),($M$3/27)/B26,"")</f>
      </c>
      <c r="O26" s="38">
        <f>IF(AND(ISNUMBER(H26),ISNUMBER(M26)),H26-M26,"")</f>
      </c>
      <c r="Q26" s="37"/>
      <c r="R26" s="37"/>
      <c r="S26" s="37"/>
      <c r="T26" s="37"/>
      <c r="U26" s="37">
        <f>IF(AND(ISNUMBER($U$3),ISNUMBER(B26),B26&lt;&gt;0),($U$3/27)/B26,"")</f>
      </c>
      <c r="W26" s="38">
        <f>IF(AND(ISNUMBER(O26),ISNUMBER(U26)),O26-U26,"")</f>
      </c>
      <c r="Y26" s="36"/>
      <c r="Z26" s="37">
        <f>IF(AND(ISNUMBER(Y26),ISNUMBER(B26),B26&lt;&gt;0),Y26/B26,"")</f>
      </c>
      <c r="AB26" s="38">
        <f>IF(AND(ISNUMBER(W26),ISNUMBER(Z26)),W26-Z26,"")</f>
      </c>
      <c r="AD26" s="37">
        <f>IF(AND(ISNUMBER('Provincia Comisiones'!B18),ISNUMBER('Provincia Comisiones'!B18)),'Provincia Comisiones'!B18,"")</f>
      </c>
      <c r="AF26" s="37">
        <f>IF(AND(ISNUMBER(AB26),ISNUMBER(AD26)),AB26+AD26,"")</f>
      </c>
      <c r="AG26" s="39">
        <f>IF(AND(ISNUMBER(AF26),ISNUMBER(B26)),AF26*B26,"")</f>
      </c>
    </row>
    <row r="27" ht="18.6" customHeight="1" spans="1:33" x14ac:dyDescent="0.25">
      <c r="A27" s="40" t="s">
        <v>74</v>
      </c>
      <c r="B27" s="41">
        <f>IF(COUNT(B20:B26)=0,"",SUM(B20:B26))</f>
      </c>
      <c r="C27" s="42">
        <f>IF(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=0,"",(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)/(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))</f>
      </c>
      <c r="D27" s="42">
        <f>IF(COUNT(D20:D26)=0,"",SUM(D20:D26))</f>
      </c>
      <c r="E27" s="43"/>
      <c r="F27" s="42">
        <f>IF(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=0,"",(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)/(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))</f>
      </c>
      <c r="G27" s="42">
        <f>IF(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=0,"",(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)/(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))</f>
      </c>
      <c r="H27" s="42">
        <f>IF(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=0,"",(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)/(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))</f>
      </c>
      <c r="I27" s="43"/>
      <c r="J27" s="42"/>
      <c r="K27" s="42"/>
      <c r="L27" s="42"/>
      <c r="M27" s="42">
        <f>IF(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=0,"",(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)/(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))</f>
      </c>
      <c r="N27" s="43"/>
      <c r="O27" s="42">
        <f>IF(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=0,"",(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)/(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))</f>
      </c>
      <c r="P27" s="43"/>
      <c r="Q27" s="42"/>
      <c r="R27" s="42"/>
      <c r="S27" s="42"/>
      <c r="T27" s="42"/>
      <c r="U27" s="42">
        <f>IF(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=0,"",(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)/(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))</f>
      </c>
      <c r="V27" s="43"/>
      <c r="W27" s="42">
        <f>IF(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=0,"",(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)/(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))</f>
      </c>
      <c r="X27" s="43"/>
      <c r="Y27" s="42">
        <f>IF(COUNT(Y20:Y26)=0,"",SUM(Y20:Y26))</f>
      </c>
      <c r="Z27" s="42">
        <f>IF(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=0,"",(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)/(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))</f>
      </c>
      <c r="AA27" s="43"/>
      <c r="AB27" s="42">
        <f>IF(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=0,"",(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)/(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))</f>
      </c>
      <c r="AC27" s="43"/>
      <c r="AD27" s="42">
        <f>IF(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=0,"",(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)/(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))</f>
      </c>
      <c r="AE27" s="43"/>
      <c r="AF27" s="42">
        <f>IF(OR(NOT(ISNUMBER(B27)),B27=0),"",AG27/B27)</f>
      </c>
      <c r="AG27" s="44">
        <f>IF(COUNT(AG20:AG26)=0,"",SUM(AG20:AG26))</f>
      </c>
    </row>
    <row r="29" spans="1:33" x14ac:dyDescent="0.25">
      <c r="A29" s="35">
        <v>46313</v>
      </c>
      <c r="B29" s="36">
        <f>IF(OR(ISNUMBER('Provincia Venta Diaria'!J19),ISNUMBER('Provincia Venta Diaria'!K19)),(IF(ISNUMBER('Provincia Venta Diaria'!J19),'Provincia Venta Diaria'!J19,0)+IF(ISNUMBER('Provincia Venta Diaria'!K19),'Provincia Venta Diaria'!K19,0))*1000,"")</f>
      </c>
      <c r="C29" s="37">
        <f>IF(AND(ISNUMBER(PRECIO!B19),ISNUMBER(PRECIO!B19)),PRECIO!B19,"")</f>
      </c>
      <c r="D29" s="36">
        <f>IF(AND(ISNUMBER(C29),ISNUMBER(B29)),C29*B29,"")</f>
      </c>
      <c r="F29" s="37"/>
      <c r="G29" s="37"/>
      <c r="H29" s="38">
        <f>IF(AND(ISNUMBER(C29),ISNUMBER(F29),ISNUMBER(G29)),C29-F29-G29,"")</f>
      </c>
      <c r="J29" s="37"/>
      <c r="K29" s="37"/>
      <c r="L29" s="37"/>
      <c r="M29" s="45"/>
      <c r="O29" s="38">
        <f>IF(ISNUMBER(H29),H29,"")</f>
      </c>
      <c r="Q29" s="37"/>
      <c r="R29" s="37"/>
      <c r="S29" s="37"/>
      <c r="T29" s="37"/>
      <c r="U29" s="45"/>
      <c r="W29" s="38">
        <f>IF(ISNUMBER(O29),O29,"")</f>
      </c>
      <c r="Y29" s="36"/>
      <c r="Z29" s="37">
        <f>IF(AND(ISNUMBER(Y29),ISNUMBER(B29),B29&lt;&gt;0),Y29/B29,"")</f>
      </c>
      <c r="AB29" s="38">
        <f>IF(AND(ISNUMBER(W29),ISNUMBER(Z29)),W29-Z29,"")</f>
      </c>
      <c r="AD29" s="37">
        <f>IF(AND(ISNUMBER('Provincia Comisiones'!B19),ISNUMBER('Provincia Comisiones'!B19)),'Provincia Comisiones'!B19,"")</f>
      </c>
      <c r="AF29" s="37">
        <f>IF(AND(ISNUMBER(AB29),ISNUMBER(AD29)),AB29+AD29,"")</f>
      </c>
      <c r="AG29" s="39">
        <f>IF(AND(ISNUMBER(AF29),ISNUMBER(B29)),AF29*B29,"")</f>
      </c>
    </row>
    <row r="30" spans="1:33" x14ac:dyDescent="0.25">
      <c r="A30" s="35">
        <v>46314</v>
      </c>
      <c r="B30" s="36">
        <f>IF(OR(ISNUMBER('Provincia Venta Diaria'!J20),ISNUMBER('Provincia Venta Diaria'!K20)),(IF(ISNUMBER('Provincia Venta Diaria'!J20),'Provincia Venta Diaria'!J20,0)+IF(ISNUMBER('Provincia Venta Diaria'!K20),'Provincia Venta Diaria'!K20,0))*1000,"")</f>
      </c>
      <c r="C30" s="37">
        <f>IF(AND(ISNUMBER(PRECIO!B20),ISNUMBER(PRECIO!B20)),PRECIO!B20,"")</f>
      </c>
      <c r="D30" s="36">
        <f>IF(AND(ISNUMBER(C30),ISNUMBER(B30)),C30*B30,"")</f>
      </c>
      <c r="F30" s="37"/>
      <c r="G30" s="37"/>
      <c r="H30" s="38">
        <f>IF(AND(ISNUMBER(C30),ISNUMBER(F30),ISNUMBER(G30)),C30-F30-G30,"")</f>
      </c>
      <c r="J30" s="37"/>
      <c r="K30" s="37"/>
      <c r="L30" s="37"/>
      <c r="M30" s="37">
        <f>IF(AND(ISNUMBER($M$3),ISNUMBER(B30),B30&lt;&gt;0),($M$3/27)/B30,"")</f>
      </c>
      <c r="O30" s="38">
        <f>IF(AND(ISNUMBER(H30),ISNUMBER(M30)),H30-M30,"")</f>
      </c>
      <c r="Q30" s="37"/>
      <c r="R30" s="37"/>
      <c r="S30" s="37"/>
      <c r="T30" s="37"/>
      <c r="U30" s="37">
        <f>IF(AND(ISNUMBER($U$3),ISNUMBER(B30),B30&lt;&gt;0),($U$3/27)/B30,"")</f>
      </c>
      <c r="W30" s="38">
        <f>IF(AND(ISNUMBER(O30),ISNUMBER(U30)),O30-U30,"")</f>
      </c>
      <c r="Y30" s="36"/>
      <c r="Z30" s="37">
        <f>IF(AND(ISNUMBER(Y30),ISNUMBER(B30),B30&lt;&gt;0),Y30/B30,"")</f>
      </c>
      <c r="AB30" s="38">
        <f>IF(AND(ISNUMBER(W30),ISNUMBER(Z30)),W30-Z30,"")</f>
      </c>
      <c r="AD30" s="37">
        <f>IF(AND(ISNUMBER('Provincia Comisiones'!B20),ISNUMBER('Provincia Comisiones'!B20)),'Provincia Comisiones'!B20,"")</f>
      </c>
      <c r="AF30" s="37">
        <f>IF(AND(ISNUMBER(AB30),ISNUMBER(AD30)),AB30+AD30,"")</f>
      </c>
      <c r="AG30" s="39">
        <f>IF(AND(ISNUMBER(AF30),ISNUMBER(B30)),AF30*B30,"")</f>
      </c>
    </row>
    <row r="31" spans="1:33" x14ac:dyDescent="0.25">
      <c r="A31" s="35">
        <v>46315</v>
      </c>
      <c r="B31" s="36">
        <f>IF(OR(ISNUMBER('Provincia Venta Diaria'!J21),ISNUMBER('Provincia Venta Diaria'!K21)),(IF(ISNUMBER('Provincia Venta Diaria'!J21),'Provincia Venta Diaria'!J21,0)+IF(ISNUMBER('Provincia Venta Diaria'!K21),'Provincia Venta Diaria'!K21,0))*1000,"")</f>
      </c>
      <c r="C31" s="37">
        <f>IF(AND(ISNUMBER(PRECIO!B21),ISNUMBER(PRECIO!B21)),PRECIO!B21,"")</f>
      </c>
      <c r="D31" s="36">
        <f>IF(AND(ISNUMBER(C31),ISNUMBER(B31)),C31*B31,"")</f>
      </c>
      <c r="F31" s="37"/>
      <c r="G31" s="37"/>
      <c r="H31" s="38">
        <f>IF(AND(ISNUMBER(C31),ISNUMBER(F31),ISNUMBER(G31)),C31-F31-G31,"")</f>
      </c>
      <c r="J31" s="37"/>
      <c r="K31" s="37"/>
      <c r="L31" s="37"/>
      <c r="M31" s="37">
        <f>IF(AND(ISNUMBER($M$3),ISNUMBER(B31),B31&lt;&gt;0),($M$3/27)/B31,"")</f>
      </c>
      <c r="O31" s="38">
        <f>IF(AND(ISNUMBER(H31),ISNUMBER(M31)),H31-M31,"")</f>
      </c>
      <c r="Q31" s="37"/>
      <c r="R31" s="37"/>
      <c r="S31" s="37"/>
      <c r="T31" s="37"/>
      <c r="U31" s="37">
        <f>IF(AND(ISNUMBER($U$3),ISNUMBER(B31),B31&lt;&gt;0),($U$3/27)/B31,"")</f>
      </c>
      <c r="W31" s="38">
        <f>IF(AND(ISNUMBER(O31),ISNUMBER(U31)),O31-U31,"")</f>
      </c>
      <c r="Y31" s="36"/>
      <c r="Z31" s="37">
        <f>IF(AND(ISNUMBER(Y31),ISNUMBER(B31),B31&lt;&gt;0),Y31/B31,"")</f>
      </c>
      <c r="AB31" s="38">
        <f>IF(AND(ISNUMBER(W31),ISNUMBER(Z31)),W31-Z31,"")</f>
      </c>
      <c r="AD31" s="37">
        <f>IF(AND(ISNUMBER('Provincia Comisiones'!B21),ISNUMBER('Provincia Comisiones'!B21)),'Provincia Comisiones'!B21,"")</f>
      </c>
      <c r="AF31" s="37">
        <f>IF(AND(ISNUMBER(AB31),ISNUMBER(AD31)),AB31+AD31,"")</f>
      </c>
      <c r="AG31" s="39">
        <f>IF(AND(ISNUMBER(AF31),ISNUMBER(B31)),AF31*B31,"")</f>
      </c>
    </row>
    <row r="32" spans="1:33" x14ac:dyDescent="0.25">
      <c r="A32" s="35">
        <v>46316</v>
      </c>
      <c r="B32" s="36">
        <f>IF(OR(ISNUMBER('Provincia Venta Diaria'!J22),ISNUMBER('Provincia Venta Diaria'!K22)),(IF(ISNUMBER('Provincia Venta Diaria'!J22),'Provincia Venta Diaria'!J22,0)+IF(ISNUMBER('Provincia Venta Diaria'!K22),'Provincia Venta Diaria'!K22,0))*1000,"")</f>
      </c>
      <c r="C32" s="37">
        <f>IF(AND(ISNUMBER(PRECIO!B22),ISNUMBER(PRECIO!B22)),PRECIO!B22,"")</f>
      </c>
      <c r="D32" s="36">
        <f>IF(AND(ISNUMBER(C32),ISNUMBER(B32)),C32*B32,"")</f>
      </c>
      <c r="F32" s="37"/>
      <c r="G32" s="37"/>
      <c r="H32" s="38">
        <f>IF(AND(ISNUMBER(C32),ISNUMBER(F32),ISNUMBER(G32)),C32-F32-G32,"")</f>
      </c>
      <c r="J32" s="37"/>
      <c r="K32" s="37"/>
      <c r="L32" s="37"/>
      <c r="M32" s="37">
        <f>IF(AND(ISNUMBER($M$3),ISNUMBER(B32),B32&lt;&gt;0),($M$3/27)/B32,"")</f>
      </c>
      <c r="O32" s="38">
        <f>IF(AND(ISNUMBER(H32),ISNUMBER(M32)),H32-M32,"")</f>
      </c>
      <c r="Q32" s="37"/>
      <c r="R32" s="37"/>
      <c r="S32" s="37"/>
      <c r="T32" s="37"/>
      <c r="U32" s="37">
        <f>IF(AND(ISNUMBER($U$3),ISNUMBER(B32),B32&lt;&gt;0),($U$3/27)/B32,"")</f>
      </c>
      <c r="W32" s="38">
        <f>IF(AND(ISNUMBER(O32),ISNUMBER(U32)),O32-U32,"")</f>
      </c>
      <c r="Y32" s="36"/>
      <c r="Z32" s="37">
        <f>IF(AND(ISNUMBER(Y32),ISNUMBER(B32),B32&lt;&gt;0),Y32/B32,"")</f>
      </c>
      <c r="AB32" s="38">
        <f>IF(AND(ISNUMBER(W32),ISNUMBER(Z32)),W32-Z32,"")</f>
      </c>
      <c r="AD32" s="37">
        <f>IF(AND(ISNUMBER('Provincia Comisiones'!B22),ISNUMBER('Provincia Comisiones'!B22)),'Provincia Comisiones'!B22,"")</f>
      </c>
      <c r="AF32" s="37">
        <f>IF(AND(ISNUMBER(AB32),ISNUMBER(AD32)),AB32+AD32,"")</f>
      </c>
      <c r="AG32" s="39">
        <f>IF(AND(ISNUMBER(AF32),ISNUMBER(B32)),AF32*B32,"")</f>
      </c>
    </row>
    <row r="33" spans="1:33" x14ac:dyDescent="0.25">
      <c r="A33" s="35">
        <v>46317</v>
      </c>
      <c r="B33" s="36">
        <f>IF(OR(ISNUMBER('Provincia Venta Diaria'!J23),ISNUMBER('Provincia Venta Diaria'!K23)),(IF(ISNUMBER('Provincia Venta Diaria'!J23),'Provincia Venta Diaria'!J23,0)+IF(ISNUMBER('Provincia Venta Diaria'!K23),'Provincia Venta Diaria'!K23,0))*1000,"")</f>
      </c>
      <c r="C33" s="37">
        <f>IF(AND(ISNUMBER(PRECIO!B23),ISNUMBER(PRECIO!B23)),PRECIO!B23,"")</f>
      </c>
      <c r="D33" s="36">
        <f>IF(AND(ISNUMBER(C33),ISNUMBER(B33)),C33*B33,"")</f>
      </c>
      <c r="F33" s="37"/>
      <c r="G33" s="37"/>
      <c r="H33" s="38">
        <f>IF(AND(ISNUMBER(C33),ISNUMBER(F33),ISNUMBER(G33)),C33-F33-G33,"")</f>
      </c>
      <c r="J33" s="37"/>
      <c r="K33" s="37"/>
      <c r="L33" s="37"/>
      <c r="M33" s="37">
        <f>IF(AND(ISNUMBER($M$3),ISNUMBER(B33),B33&lt;&gt;0),($M$3/27)/B33,"")</f>
      </c>
      <c r="O33" s="38">
        <f>IF(AND(ISNUMBER(H33),ISNUMBER(M33)),H33-M33,"")</f>
      </c>
      <c r="Q33" s="37"/>
      <c r="R33" s="37"/>
      <c r="S33" s="37"/>
      <c r="T33" s="37"/>
      <c r="U33" s="37">
        <f>IF(AND(ISNUMBER($U$3),ISNUMBER(B33),B33&lt;&gt;0),($U$3/27)/B33,"")</f>
      </c>
      <c r="W33" s="38">
        <f>IF(AND(ISNUMBER(O33),ISNUMBER(U33)),O33-U33,"")</f>
      </c>
      <c r="Y33" s="36"/>
      <c r="Z33" s="37">
        <f>IF(AND(ISNUMBER(Y33),ISNUMBER(B33),B33&lt;&gt;0),Y33/B33,"")</f>
      </c>
      <c r="AB33" s="38">
        <f>IF(AND(ISNUMBER(W33),ISNUMBER(Z33)),W33-Z33,"")</f>
      </c>
      <c r="AD33" s="37">
        <f>IF(AND(ISNUMBER('Provincia Comisiones'!B23),ISNUMBER('Provincia Comisiones'!B23)),'Provincia Comisiones'!B23,"")</f>
      </c>
      <c r="AF33" s="37">
        <f>IF(AND(ISNUMBER(AB33),ISNUMBER(AD33)),AB33+AD33,"")</f>
      </c>
      <c r="AG33" s="39">
        <f>IF(AND(ISNUMBER(AF33),ISNUMBER(B33)),AF33*B33,"")</f>
      </c>
    </row>
    <row r="34" spans="1:33" x14ac:dyDescent="0.25">
      <c r="A34" s="35">
        <v>46318</v>
      </c>
      <c r="B34" s="36">
        <f>IF(OR(ISNUMBER('Provincia Venta Diaria'!J24),ISNUMBER('Provincia Venta Diaria'!K24)),(IF(ISNUMBER('Provincia Venta Diaria'!J24),'Provincia Venta Diaria'!J24,0)+IF(ISNUMBER('Provincia Venta Diaria'!K24),'Provincia Venta Diaria'!K24,0))*1000,"")</f>
      </c>
      <c r="C34" s="37">
        <f>IF(AND(ISNUMBER(PRECIO!B24),ISNUMBER(PRECIO!B24)),PRECIO!B24,"")</f>
      </c>
      <c r="D34" s="36">
        <f>IF(AND(ISNUMBER(C34),ISNUMBER(B34)),C34*B34,"")</f>
      </c>
      <c r="F34" s="37"/>
      <c r="G34" s="37"/>
      <c r="H34" s="38">
        <f>IF(AND(ISNUMBER(C34),ISNUMBER(F34),ISNUMBER(G34)),C34-F34-G34,"")</f>
      </c>
      <c r="J34" s="37"/>
      <c r="K34" s="37"/>
      <c r="L34" s="37"/>
      <c r="M34" s="37">
        <f>IF(AND(ISNUMBER($M$3),ISNUMBER(B34),B34&lt;&gt;0),($M$3/27)/B34,"")</f>
      </c>
      <c r="O34" s="38">
        <f>IF(AND(ISNUMBER(H34),ISNUMBER(M34)),H34-M34,"")</f>
      </c>
      <c r="Q34" s="37"/>
      <c r="R34" s="37"/>
      <c r="S34" s="37"/>
      <c r="T34" s="37"/>
      <c r="U34" s="37">
        <f>IF(AND(ISNUMBER($U$3),ISNUMBER(B34),B34&lt;&gt;0),($U$3/27)/B34,"")</f>
      </c>
      <c r="W34" s="38">
        <f>IF(AND(ISNUMBER(O34),ISNUMBER(U34)),O34-U34,"")</f>
      </c>
      <c r="Y34" s="36"/>
      <c r="Z34" s="37">
        <f>IF(AND(ISNUMBER(Y34),ISNUMBER(B34),B34&lt;&gt;0),Y34/B34,"")</f>
      </c>
      <c r="AB34" s="38">
        <f>IF(AND(ISNUMBER(W34),ISNUMBER(Z34)),W34-Z34,"")</f>
      </c>
      <c r="AD34" s="37">
        <f>IF(AND(ISNUMBER('Provincia Comisiones'!B24),ISNUMBER('Provincia Comisiones'!B24)),'Provincia Comisiones'!B24,"")</f>
      </c>
      <c r="AF34" s="37">
        <f>IF(AND(ISNUMBER(AB34),ISNUMBER(AD34)),AB34+AD34,"")</f>
      </c>
      <c r="AG34" s="39">
        <f>IF(AND(ISNUMBER(AF34),ISNUMBER(B34)),AF34*B34,"")</f>
      </c>
    </row>
    <row r="35" spans="1:33" x14ac:dyDescent="0.25">
      <c r="A35" s="35">
        <v>46319</v>
      </c>
      <c r="B35" s="36">
        <f>IF(OR(ISNUMBER('Provincia Venta Diaria'!J25),ISNUMBER('Provincia Venta Diaria'!K25)),(IF(ISNUMBER('Provincia Venta Diaria'!J25),'Provincia Venta Diaria'!J25,0)+IF(ISNUMBER('Provincia Venta Diaria'!K25),'Provincia Venta Diaria'!K25,0))*1000,"")</f>
      </c>
      <c r="C35" s="37">
        <f>IF(AND(ISNUMBER(PRECIO!B25),ISNUMBER(PRECIO!B25)),PRECIO!B25,"")</f>
      </c>
      <c r="D35" s="36">
        <f>IF(AND(ISNUMBER(C35),ISNUMBER(B35)),C35*B35,"")</f>
      </c>
      <c r="F35" s="37"/>
      <c r="G35" s="37"/>
      <c r="H35" s="38">
        <f>IF(AND(ISNUMBER(C35),ISNUMBER(F35),ISNUMBER(G35)),C35-F35-G35,"")</f>
      </c>
      <c r="J35" s="37"/>
      <c r="K35" s="37"/>
      <c r="L35" s="37"/>
      <c r="M35" s="37">
        <f>IF(AND(ISNUMBER($M$3),ISNUMBER(B35),B35&lt;&gt;0),($M$3/27)/B35,"")</f>
      </c>
      <c r="O35" s="38">
        <f>IF(AND(ISNUMBER(H35),ISNUMBER(M35)),H35-M35,"")</f>
      </c>
      <c r="Q35" s="37"/>
      <c r="R35" s="37"/>
      <c r="S35" s="37"/>
      <c r="T35" s="37"/>
      <c r="U35" s="37">
        <f>IF(AND(ISNUMBER($U$3),ISNUMBER(B35),B35&lt;&gt;0),($U$3/27)/B35,"")</f>
      </c>
      <c r="W35" s="38">
        <f>IF(AND(ISNUMBER(O35),ISNUMBER(U35)),O35-U35,"")</f>
      </c>
      <c r="Y35" s="36"/>
      <c r="Z35" s="37">
        <f>IF(AND(ISNUMBER(Y35),ISNUMBER(B35),B35&lt;&gt;0),Y35/B35,"")</f>
      </c>
      <c r="AB35" s="38">
        <f>IF(AND(ISNUMBER(W35),ISNUMBER(Z35)),W35-Z35,"")</f>
      </c>
      <c r="AD35" s="37">
        <f>IF(AND(ISNUMBER('Provincia Comisiones'!B25),ISNUMBER('Provincia Comisiones'!B25)),'Provincia Comisiones'!B25,"")</f>
      </c>
      <c r="AF35" s="37">
        <f>IF(AND(ISNUMBER(AB35),ISNUMBER(AD35)),AB35+AD35,"")</f>
      </c>
      <c r="AG35" s="39">
        <f>IF(AND(ISNUMBER(AF35),ISNUMBER(B35)),AF35*B35,"")</f>
      </c>
    </row>
    <row r="36" ht="18.6" customHeight="1" spans="1:33" x14ac:dyDescent="0.25">
      <c r="A36" s="40" t="s">
        <v>75</v>
      </c>
      <c r="B36" s="41">
        <f>IF(COUNT(B29:B35)=0,"",SUM(B29:B35))</f>
      </c>
      <c r="C36" s="42">
        <f>IF(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=0,"",(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)/(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))</f>
      </c>
      <c r="D36" s="42">
        <f>IF(COUNT(D29:D35)=0,"",SUM(D29:D35))</f>
      </c>
      <c r="E36" s="43"/>
      <c r="F36" s="42">
        <f>IF(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=0,"",(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)/(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))</f>
      </c>
      <c r="G36" s="42">
        <f>IF(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=0,"",(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)/(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))</f>
      </c>
      <c r="H36" s="42">
        <f>IF(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=0,"",(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)/(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))</f>
      </c>
      <c r="I36" s="43"/>
      <c r="J36" s="42"/>
      <c r="K36" s="42"/>
      <c r="L36" s="42"/>
      <c r="M36" s="42">
        <f>IF(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=0,"",(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)/(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))</f>
      </c>
      <c r="N36" s="43"/>
      <c r="O36" s="42">
        <f>IF(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=0,"",(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)/(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))</f>
      </c>
      <c r="P36" s="43"/>
      <c r="Q36" s="42"/>
      <c r="R36" s="42"/>
      <c r="S36" s="42"/>
      <c r="T36" s="42"/>
      <c r="U36" s="42">
        <f>IF(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=0,"",(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)/(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))</f>
      </c>
      <c r="V36" s="43"/>
      <c r="W36" s="42">
        <f>IF(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=0,"",(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)/(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))</f>
      </c>
      <c r="X36" s="43"/>
      <c r="Y36" s="42">
        <f>IF(COUNT(Y29:Y35)=0,"",SUM(Y29:Y35))</f>
      </c>
      <c r="Z36" s="42">
        <f>IF(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=0,"",(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)/(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))</f>
      </c>
      <c r="AA36" s="43"/>
      <c r="AB36" s="42">
        <f>IF(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=0,"",(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)/(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))</f>
      </c>
      <c r="AC36" s="43"/>
      <c r="AD36" s="42">
        <f>IF(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=0,"",(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)/(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))</f>
      </c>
      <c r="AE36" s="43"/>
      <c r="AF36" s="42">
        <f>IF(OR(NOT(ISNUMBER(B36)),B36=0),"",AG36/B36)</f>
      </c>
      <c r="AG36" s="44">
        <f>IF(COUNT(AG29:AG35)=0,"",SUM(AG29:AG35))</f>
      </c>
    </row>
    <row r="38" spans="1:33" x14ac:dyDescent="0.25">
      <c r="A38" s="35">
        <v>46320</v>
      </c>
      <c r="B38" s="36">
        <f>IF(OR(ISNUMBER('Provincia Venta Diaria'!J26),ISNUMBER('Provincia Venta Diaria'!K26)),(IF(ISNUMBER('Provincia Venta Diaria'!J26),'Provincia Venta Diaria'!J26,0)+IF(ISNUMBER('Provincia Venta Diaria'!K26),'Provincia Venta Diaria'!K26,0))*1000,"")</f>
      </c>
      <c r="C38" s="37">
        <f>IF(AND(ISNUMBER(PRECIO!B26),ISNUMBER(PRECIO!B26)),PRECIO!B26,"")</f>
      </c>
      <c r="D38" s="36">
        <f>IF(AND(ISNUMBER(C38),ISNUMBER(B38)),C38*B38,"")</f>
      </c>
      <c r="F38" s="37"/>
      <c r="G38" s="37"/>
      <c r="H38" s="38">
        <f>IF(AND(ISNUMBER(C38),ISNUMBER(F38),ISNUMBER(G38)),C38-F38-G38,"")</f>
      </c>
      <c r="J38" s="37"/>
      <c r="K38" s="37"/>
      <c r="L38" s="37"/>
      <c r="M38" s="45"/>
      <c r="O38" s="38">
        <f>IF(ISNUMBER(H38),H38,"")</f>
      </c>
      <c r="Q38" s="37"/>
      <c r="R38" s="37"/>
      <c r="S38" s="37"/>
      <c r="T38" s="37"/>
      <c r="U38" s="45"/>
      <c r="W38" s="38">
        <f>IF(ISNUMBER(O38),O38,"")</f>
      </c>
      <c r="Y38" s="36"/>
      <c r="Z38" s="37">
        <f>IF(AND(ISNUMBER(Y38),ISNUMBER(B38),B38&lt;&gt;0),Y38/B38,"")</f>
      </c>
      <c r="AB38" s="38">
        <f>IF(AND(ISNUMBER(W38),ISNUMBER(Z38)),W38-Z38,"")</f>
      </c>
      <c r="AD38" s="37">
        <f>IF(AND(ISNUMBER('Provincia Comisiones'!B26),ISNUMBER('Provincia Comisiones'!B26)),'Provincia Comisiones'!B26,"")</f>
      </c>
      <c r="AF38" s="37">
        <f>IF(AND(ISNUMBER(AB38),ISNUMBER(AD38)),AB38+AD38,"")</f>
      </c>
      <c r="AG38" s="39">
        <f>IF(AND(ISNUMBER(AF38),ISNUMBER(B38)),AF38*B38,"")</f>
      </c>
    </row>
    <row r="39" spans="1:33" x14ac:dyDescent="0.25">
      <c r="A39" s="35">
        <v>46321</v>
      </c>
      <c r="B39" s="36">
        <f>IF(OR(ISNUMBER('Provincia Venta Diaria'!J27),ISNUMBER('Provincia Venta Diaria'!K27)),(IF(ISNUMBER('Provincia Venta Diaria'!J27),'Provincia Venta Diaria'!J27,0)+IF(ISNUMBER('Provincia Venta Diaria'!K27),'Provincia Venta Diaria'!K27,0))*1000,"")</f>
      </c>
      <c r="C39" s="37">
        <f>IF(AND(ISNUMBER(PRECIO!B27),ISNUMBER(PRECIO!B27)),PRECIO!B27,"")</f>
      </c>
      <c r="D39" s="36">
        <f>IF(AND(ISNUMBER(C39),ISNUMBER(B39)),C39*B39,"")</f>
      </c>
      <c r="F39" s="37"/>
      <c r="G39" s="37"/>
      <c r="H39" s="38">
        <f>IF(AND(ISNUMBER(C39),ISNUMBER(F39),ISNUMBER(G39)),C39-F39-G39,"")</f>
      </c>
      <c r="J39" s="37"/>
      <c r="K39" s="37"/>
      <c r="L39" s="37"/>
      <c r="M39" s="37">
        <f>IF(AND(ISNUMBER($M$3),ISNUMBER(B39),B39&lt;&gt;0),($M$3/27)/B39,"")</f>
      </c>
      <c r="O39" s="38">
        <f>IF(AND(ISNUMBER(H39),ISNUMBER(M39)),H39-M39,"")</f>
      </c>
      <c r="Q39" s="37"/>
      <c r="R39" s="37"/>
      <c r="S39" s="37"/>
      <c r="T39" s="37"/>
      <c r="U39" s="37">
        <f>IF(AND(ISNUMBER($U$3),ISNUMBER(B39),B39&lt;&gt;0),($U$3/27)/B39,"")</f>
      </c>
      <c r="W39" s="38">
        <f>IF(AND(ISNUMBER(O39),ISNUMBER(U39)),O39-U39,"")</f>
      </c>
      <c r="Y39" s="36"/>
      <c r="Z39" s="37">
        <f>IF(AND(ISNUMBER(Y39),ISNUMBER(B39),B39&lt;&gt;0),Y39/B39,"")</f>
      </c>
      <c r="AB39" s="38">
        <f>IF(AND(ISNUMBER(W39),ISNUMBER(Z39)),W39-Z39,"")</f>
      </c>
      <c r="AD39" s="37">
        <f>IF(AND(ISNUMBER('Provincia Comisiones'!B27),ISNUMBER('Provincia Comisiones'!B27)),'Provincia Comisiones'!B27,"")</f>
      </c>
      <c r="AF39" s="37">
        <f>IF(AND(ISNUMBER(AB39),ISNUMBER(AD39)),AB39+AD39,"")</f>
      </c>
      <c r="AG39" s="39">
        <f>IF(AND(ISNUMBER(AF39),ISNUMBER(B39)),AF39*B39,"")</f>
      </c>
    </row>
    <row r="40" spans="1:33" x14ac:dyDescent="0.25">
      <c r="A40" s="35">
        <v>46322</v>
      </c>
      <c r="B40" s="36">
        <f>IF(OR(ISNUMBER('Provincia Venta Diaria'!J28),ISNUMBER('Provincia Venta Diaria'!K28)),(IF(ISNUMBER('Provincia Venta Diaria'!J28),'Provincia Venta Diaria'!J28,0)+IF(ISNUMBER('Provincia Venta Diaria'!K28),'Provincia Venta Diaria'!K28,0))*1000,"")</f>
      </c>
      <c r="C40" s="37">
        <f>IF(AND(ISNUMBER(PRECIO!B28),ISNUMBER(PRECIO!B28)),PRECIO!B28,"")</f>
      </c>
      <c r="D40" s="36">
        <f>IF(AND(ISNUMBER(C40),ISNUMBER(B40)),C40*B40,"")</f>
      </c>
      <c r="F40" s="37"/>
      <c r="G40" s="37"/>
      <c r="H40" s="38">
        <f>IF(AND(ISNUMBER(C40),ISNUMBER(F40),ISNUMBER(G40)),C40-F40-G40,"")</f>
      </c>
      <c r="J40" s="37"/>
      <c r="K40" s="37"/>
      <c r="L40" s="37"/>
      <c r="M40" s="37">
        <f>IF(AND(ISNUMBER($M$3),ISNUMBER(B40),B40&lt;&gt;0),($M$3/27)/B40,"")</f>
      </c>
      <c r="O40" s="38">
        <f>IF(AND(ISNUMBER(H40),ISNUMBER(M40)),H40-M40,"")</f>
      </c>
      <c r="Q40" s="37"/>
      <c r="R40" s="37"/>
      <c r="S40" s="37"/>
      <c r="T40" s="37"/>
      <c r="U40" s="37">
        <f>IF(AND(ISNUMBER($U$3),ISNUMBER(B40),B40&lt;&gt;0),($U$3/27)/B40,"")</f>
      </c>
      <c r="W40" s="38">
        <f>IF(AND(ISNUMBER(O40),ISNUMBER(U40)),O40-U40,"")</f>
      </c>
      <c r="Y40" s="36"/>
      <c r="Z40" s="37">
        <f>IF(AND(ISNUMBER(Y40),ISNUMBER(B40),B40&lt;&gt;0),Y40/B40,"")</f>
      </c>
      <c r="AB40" s="38">
        <f>IF(AND(ISNUMBER(W40),ISNUMBER(Z40)),W40-Z40,"")</f>
      </c>
      <c r="AD40" s="37">
        <f>IF(AND(ISNUMBER('Provincia Comisiones'!B28),ISNUMBER('Provincia Comisiones'!B28)),'Provincia Comisiones'!B28,"")</f>
      </c>
      <c r="AF40" s="37">
        <f>IF(AND(ISNUMBER(AB40),ISNUMBER(AD40)),AB40+AD40,"")</f>
      </c>
      <c r="AG40" s="39">
        <f>IF(AND(ISNUMBER(AF40),ISNUMBER(B40)),AF40*B40,"")</f>
      </c>
    </row>
    <row r="41" spans="1:33" x14ac:dyDescent="0.25">
      <c r="A41" s="35">
        <v>46323</v>
      </c>
      <c r="B41" s="36">
        <f>IF(OR(ISNUMBER('Provincia Venta Diaria'!J29),ISNUMBER('Provincia Venta Diaria'!K29)),(IF(ISNUMBER('Provincia Venta Diaria'!J29),'Provincia Venta Diaria'!J29,0)+IF(ISNUMBER('Provincia Venta Diaria'!K29),'Provincia Venta Diaria'!K29,0))*1000,"")</f>
      </c>
      <c r="C41" s="37">
        <f>IF(AND(ISNUMBER(PRECIO!B29),ISNUMBER(PRECIO!B29)),PRECIO!B29,"")</f>
      </c>
      <c r="D41" s="36">
        <f>IF(AND(ISNUMBER(C41),ISNUMBER(B41)),C41*B41,"")</f>
      </c>
      <c r="F41" s="37"/>
      <c r="G41" s="37"/>
      <c r="H41" s="38">
        <f>IF(AND(ISNUMBER(C41),ISNUMBER(F41),ISNUMBER(G41)),C41-F41-G41,"")</f>
      </c>
      <c r="J41" s="37"/>
      <c r="K41" s="37"/>
      <c r="L41" s="37"/>
      <c r="M41" s="37">
        <f>IF(AND(ISNUMBER($M$3),ISNUMBER(B41),B41&lt;&gt;0),($M$3/27)/B41,"")</f>
      </c>
      <c r="O41" s="38">
        <f>IF(AND(ISNUMBER(H41),ISNUMBER(M41)),H41-M41,"")</f>
      </c>
      <c r="Q41" s="37"/>
      <c r="R41" s="37"/>
      <c r="S41" s="37"/>
      <c r="T41" s="37"/>
      <c r="U41" s="37">
        <f>IF(AND(ISNUMBER($U$3),ISNUMBER(B41),B41&lt;&gt;0),($U$3/27)/B41,"")</f>
      </c>
      <c r="W41" s="38">
        <f>IF(AND(ISNUMBER(O41),ISNUMBER(U41)),O41-U41,"")</f>
      </c>
      <c r="Y41" s="36"/>
      <c r="Z41" s="37">
        <f>IF(AND(ISNUMBER(Y41),ISNUMBER(B41),B41&lt;&gt;0),Y41/B41,"")</f>
      </c>
      <c r="AB41" s="38">
        <f>IF(AND(ISNUMBER(W41),ISNUMBER(Z41)),W41-Z41,"")</f>
      </c>
      <c r="AD41" s="37">
        <f>IF(AND(ISNUMBER('Provincia Comisiones'!B29),ISNUMBER('Provincia Comisiones'!B29)),'Provincia Comisiones'!B29,"")</f>
      </c>
      <c r="AF41" s="37">
        <f>IF(AND(ISNUMBER(AB41),ISNUMBER(AD41)),AB41+AD41,"")</f>
      </c>
      <c r="AG41" s="39">
        <f>IF(AND(ISNUMBER(AF41),ISNUMBER(B41)),AF41*B41,"")</f>
      </c>
    </row>
    <row r="42" spans="1:33" x14ac:dyDescent="0.25">
      <c r="A42" s="35">
        <v>46324</v>
      </c>
      <c r="B42" s="36">
        <f>IF(OR(ISNUMBER('Provincia Venta Diaria'!J30),ISNUMBER('Provincia Venta Diaria'!K30)),(IF(ISNUMBER('Provincia Venta Diaria'!J30),'Provincia Venta Diaria'!J30,0)+IF(ISNUMBER('Provincia Venta Diaria'!K30),'Provincia Venta Diaria'!K30,0))*1000,"")</f>
      </c>
      <c r="C42" s="37">
        <f>IF(AND(ISNUMBER(PRECIO!B30),ISNUMBER(PRECIO!B30)),PRECIO!B30,"")</f>
      </c>
      <c r="D42" s="36">
        <f>IF(AND(ISNUMBER(C42),ISNUMBER(B42)),C42*B42,"")</f>
      </c>
      <c r="F42" s="37"/>
      <c r="G42" s="37"/>
      <c r="H42" s="38">
        <f>IF(AND(ISNUMBER(C42),ISNUMBER(F42),ISNUMBER(G42)),C42-F42-G42,"")</f>
      </c>
      <c r="J42" s="37"/>
      <c r="K42" s="37"/>
      <c r="L42" s="37"/>
      <c r="M42" s="37">
        <f>IF(AND(ISNUMBER($M$3),ISNUMBER(B42),B42&lt;&gt;0),($M$3/27)/B42,"")</f>
      </c>
      <c r="O42" s="38">
        <f>IF(AND(ISNUMBER(H42),ISNUMBER(M42)),H42-M42,"")</f>
      </c>
      <c r="Q42" s="37"/>
      <c r="R42" s="37"/>
      <c r="S42" s="37"/>
      <c r="T42" s="37"/>
      <c r="U42" s="37">
        <f>IF(AND(ISNUMBER($U$3),ISNUMBER(B42),B42&lt;&gt;0),($U$3/27)/B42,"")</f>
      </c>
      <c r="W42" s="38">
        <f>IF(AND(ISNUMBER(O42),ISNUMBER(U42)),O42-U42,"")</f>
      </c>
      <c r="Y42" s="36"/>
      <c r="Z42" s="37">
        <f>IF(AND(ISNUMBER(Y42),ISNUMBER(B42),B42&lt;&gt;0),Y42/B42,"")</f>
      </c>
      <c r="AB42" s="38">
        <f>IF(AND(ISNUMBER(W42),ISNUMBER(Z42)),W42-Z42,"")</f>
      </c>
      <c r="AD42" s="37">
        <f>IF(AND(ISNUMBER('Provincia Comisiones'!B30),ISNUMBER('Provincia Comisiones'!B30)),'Provincia Comisiones'!B30,"")</f>
      </c>
      <c r="AF42" s="37">
        <f>IF(AND(ISNUMBER(AB42),ISNUMBER(AD42)),AB42+AD42,"")</f>
      </c>
      <c r="AG42" s="39">
        <f>IF(AND(ISNUMBER(AF42),ISNUMBER(B42)),AF42*B42,"")</f>
      </c>
    </row>
    <row r="43" spans="1:33" x14ac:dyDescent="0.25">
      <c r="A43" s="35">
        <v>46325</v>
      </c>
      <c r="B43" s="36">
        <f>IF(OR(ISNUMBER('Provincia Venta Diaria'!J31),ISNUMBER('Provincia Venta Diaria'!K31)),(IF(ISNUMBER('Provincia Venta Diaria'!J31),'Provincia Venta Diaria'!J31,0)+IF(ISNUMBER('Provincia Venta Diaria'!K31),'Provincia Venta Diaria'!K31,0))*1000,"")</f>
      </c>
      <c r="C43" s="37">
        <f>IF(AND(ISNUMBER(PRECIO!B31),ISNUMBER(PRECIO!B31)),PRECIO!B31,"")</f>
      </c>
      <c r="D43" s="36">
        <f>IF(AND(ISNUMBER(C43),ISNUMBER(B43)),C43*B43,"")</f>
      </c>
      <c r="F43" s="37"/>
      <c r="G43" s="37"/>
      <c r="H43" s="38">
        <f>IF(AND(ISNUMBER(C43),ISNUMBER(F43),ISNUMBER(G43)),C43-F43-G43,"")</f>
      </c>
      <c r="J43" s="37"/>
      <c r="K43" s="37"/>
      <c r="L43" s="37"/>
      <c r="M43" s="37">
        <f>IF(AND(ISNUMBER($M$3),ISNUMBER(B43),B43&lt;&gt;0),($M$3/27)/B43,"")</f>
      </c>
      <c r="O43" s="38">
        <f>IF(AND(ISNUMBER(H43),ISNUMBER(M43)),H43-M43,"")</f>
      </c>
      <c r="Q43" s="37"/>
      <c r="R43" s="37"/>
      <c r="S43" s="37"/>
      <c r="T43" s="37"/>
      <c r="U43" s="37">
        <f>IF(AND(ISNUMBER($U$3),ISNUMBER(B43),B43&lt;&gt;0),($U$3/27)/B43,"")</f>
      </c>
      <c r="W43" s="38">
        <f>IF(AND(ISNUMBER(O43),ISNUMBER(U43)),O43-U43,"")</f>
      </c>
      <c r="Y43" s="36"/>
      <c r="Z43" s="37">
        <f>IF(AND(ISNUMBER(Y43),ISNUMBER(B43),B43&lt;&gt;0),Y43/B43,"")</f>
      </c>
      <c r="AB43" s="38">
        <f>IF(AND(ISNUMBER(W43),ISNUMBER(Z43)),W43-Z43,"")</f>
      </c>
      <c r="AD43" s="37">
        <f>IF(AND(ISNUMBER('Provincia Comisiones'!B31),ISNUMBER('Provincia Comisiones'!B31)),'Provincia Comisiones'!B31,"")</f>
      </c>
      <c r="AF43" s="37">
        <f>IF(AND(ISNUMBER(AB43),ISNUMBER(AD43)),AB43+AD43,"")</f>
      </c>
      <c r="AG43" s="39">
        <f>IF(AND(ISNUMBER(AF43),ISNUMBER(B43)),AF43*B43,"")</f>
      </c>
    </row>
    <row r="44" spans="1:33" x14ac:dyDescent="0.25">
      <c r="A44" s="35">
        <v>46326</v>
      </c>
      <c r="B44" s="36">
        <f>IF(OR(ISNUMBER('Provincia Venta Diaria'!J32),ISNUMBER('Provincia Venta Diaria'!K32)),(IF(ISNUMBER('Provincia Venta Diaria'!J32),'Provincia Venta Diaria'!J32,0)+IF(ISNUMBER('Provincia Venta Diaria'!K32),'Provincia Venta Diaria'!K32,0))*1000,"")</f>
      </c>
      <c r="C44" s="37">
        <f>IF(AND(ISNUMBER(PRECIO!B32),ISNUMBER(PRECIO!B32)),PRECIO!B32,"")</f>
      </c>
      <c r="D44" s="36">
        <f>IF(AND(ISNUMBER(C44),ISNUMBER(B44)),C44*B44,"")</f>
      </c>
      <c r="F44" s="37"/>
      <c r="G44" s="37"/>
      <c r="H44" s="38">
        <f>IF(AND(ISNUMBER(C44),ISNUMBER(F44),ISNUMBER(G44)),C44-F44-G44,"")</f>
      </c>
      <c r="J44" s="37"/>
      <c r="K44" s="37"/>
      <c r="L44" s="37"/>
      <c r="M44" s="37">
        <f>IF(AND(ISNUMBER($M$3),ISNUMBER(B44),B44&lt;&gt;0),($M$3/27)/B44,"")</f>
      </c>
      <c r="O44" s="38">
        <f>IF(AND(ISNUMBER(H44),ISNUMBER(M44)),H44-M44,"")</f>
      </c>
      <c r="Q44" s="37"/>
      <c r="R44" s="37"/>
      <c r="S44" s="37"/>
      <c r="T44" s="37"/>
      <c r="U44" s="37">
        <f>IF(AND(ISNUMBER($U$3),ISNUMBER(B44),B44&lt;&gt;0),($U$3/27)/B44,"")</f>
      </c>
      <c r="W44" s="38">
        <f>IF(AND(ISNUMBER(O44),ISNUMBER(U44)),O44-U44,"")</f>
      </c>
      <c r="Y44" s="36"/>
      <c r="Z44" s="37">
        <f>IF(AND(ISNUMBER(Y44),ISNUMBER(B44),B44&lt;&gt;0),Y44/B44,"")</f>
      </c>
      <c r="AB44" s="38">
        <f>IF(AND(ISNUMBER(W44),ISNUMBER(Z44)),W44-Z44,"")</f>
      </c>
      <c r="AD44" s="37">
        <f>IF(AND(ISNUMBER('Provincia Comisiones'!B32),ISNUMBER('Provincia Comisiones'!B32)),'Provincia Comisiones'!B32,"")</f>
      </c>
      <c r="AF44" s="37">
        <f>IF(AND(ISNUMBER(AB44),ISNUMBER(AD44)),AB44+AD44,"")</f>
      </c>
      <c r="AG44" s="39">
        <f>IF(AND(ISNUMBER(AF44),ISNUMBER(B44)),AF44*B44,"")</f>
      </c>
    </row>
    <row r="46" ht="18.6" customHeight="1" spans="1:33" x14ac:dyDescent="0.25">
      <c r="A46" s="40" t="s">
        <v>76</v>
      </c>
      <c r="B46" s="41">
        <f>IF(COUNT(B38:B44)=0,"",SUM(B38:B44))</f>
      </c>
      <c r="C46" s="42">
        <f>IF(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6" s="42">
        <f>IF(COUNT(D38:D44)=0,"",SUM(D38:D44))</f>
      </c>
      <c r="E46" s="43"/>
      <c r="F46" s="42">
        <f>IF(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6" s="42">
        <f>IF(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6" s="42">
        <f>IF(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6" s="43"/>
      <c r="J46" s="42"/>
      <c r="K46" s="42"/>
      <c r="L46" s="42"/>
      <c r="M46" s="42">
        <f>IF(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6" s="43"/>
      <c r="O46" s="42">
        <f>IF(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6" s="43"/>
      <c r="Q46" s="42"/>
      <c r="R46" s="42"/>
      <c r="S46" s="42"/>
      <c r="T46" s="42"/>
      <c r="U46" s="42">
        <f>IF(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6" s="43"/>
      <c r="W46" s="42">
        <f>IF(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6" s="43"/>
      <c r="Y46" s="42">
        <f>IF(COUNT(Y38:Y44)=0,"",SUM(Y38:Y44))</f>
      </c>
      <c r="Z46" s="42">
        <f>IF(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6" s="43"/>
      <c r="AB46" s="42">
        <f>IF(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6" s="43"/>
      <c r="AD46" s="42">
        <f>IF(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6" s="43"/>
      <c r="AF46" s="42">
        <f>IF(OR(NOT(ISNUMBER(B46)),B46=0),"",AG46/B46)</f>
      </c>
      <c r="AG46" s="44">
        <f>IF(COUNT(AG38:AG44)=0,"",SUM(AG38:AG44))</f>
      </c>
    </row>
    <row r="48" ht="18.6" customHeight="1" spans="1:33" x14ac:dyDescent="0.25">
      <c r="A48" s="40" t="s">
        <v>77</v>
      </c>
      <c r="B48" s="41">
        <f>IF(COUNT(B9,B18,B27,B36,B46)=0,"",SUM(B9,B18,B27,B36,B46))</f>
      </c>
      <c r="C48" s="42">
        <f>IF(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=0,"",(IF(AND(ISNUMBER(C6),ISNUMBER(B6)),C6*B6,0)+IF(AND(ISNUMBER(C7),ISNUMBER(B7)),C7*B7,0)+IF(AND(ISNUMBER(C8),ISNUMBER(B8)),C8*B8,0)+IF(AND(ISNUMBER(C11),ISNUMBER(B11)),C11*B11,0)+IF(AND(ISNUMBER(C12),ISNUMBER(B12)),C12*B12,0)+IF(AND(ISNUMBER(C13),ISNUMBER(B13)),C13*B13,0)+IF(AND(ISNUMBER(C14),ISNUMBER(B14)),C14*B14,0)+IF(AND(ISNUMBER(C15),ISNUMBER(B15)),C15*B15,0)+IF(AND(ISNUMBER(C16),ISNUMBER(B16)),C16*B16,0)+IF(AND(ISNUMBER(C17),ISNUMBER(B17)),C17*B17,0)+IF(AND(ISNUMBER(C20),ISNUMBER(B20)),C20*B20,0)+IF(AND(ISNUMBER(C21),ISNUMBER(B21)),C21*B21,0)+IF(AND(ISNUMBER(C22),ISNUMBER(B22)),C22*B22,0)+IF(AND(ISNUMBER(C23),ISNUMBER(B23)),C23*B23,0)+IF(AND(ISNUMBER(C24),ISNUMBER(B24)),C24*B24,0)+IF(AND(ISNUMBER(C25),ISNUMBER(B25)),C25*B25,0)+IF(AND(ISNUMBER(C26),ISNUMBER(B26)),C26*B26,0)+IF(AND(ISNUMBER(C29),ISNUMBER(B29)),C29*B29,0)+IF(AND(ISNUMBER(C30),ISNUMBER(B30)),C30*B30,0)+IF(AND(ISNUMBER(C31),ISNUMBER(B31)),C31*B31,0)+IF(AND(ISNUMBER(C32),ISNUMBER(B32)),C32*B32,0)+IF(AND(ISNUMBER(C33),ISNUMBER(B33)),C33*B33,0)+IF(AND(ISNUMBER(C34),ISNUMBER(B34)),C34*B34,0)+IF(AND(ISNUMBER(C35),ISNUMBER(B35)),C35*B35,0)+IF(AND(ISNUMBER(C38),ISNUMBER(B38)),C38*B38,0)+IF(AND(ISNUMBER(C39),ISNUMBER(B39)),C39*B39,0)+IF(AND(ISNUMBER(C40),ISNUMBER(B40)),C40*B40,0)+IF(AND(ISNUMBER(C41),ISNUMBER(B41)),C41*B41,0)+IF(AND(ISNUMBER(C42),ISNUMBER(B42)),C42*B42,0)+IF(AND(ISNUMBER(C43),ISNUMBER(B43)),C43*B43,0)+IF(AND(ISNUMBER(C44),ISNUMBER(B44)),C44*B44,0))/(IF(AND(ISNUMBER(C6),ISNUMBER(B6)),B6,0)+IF(AND(ISNUMBER(C7),ISNUMBER(B7)),B7,0)+IF(AND(ISNUMBER(C8),ISNUMBER(B8)),B8,0)+IF(AND(ISNUMBER(C11),ISNUMBER(B11)),B11,0)+IF(AND(ISNUMBER(C12),ISNUMBER(B12)),B12,0)+IF(AND(ISNUMBER(C13),ISNUMBER(B13)),B13,0)+IF(AND(ISNUMBER(C14),ISNUMBER(B14)),B14,0)+IF(AND(ISNUMBER(C15),ISNUMBER(B15)),B15,0)+IF(AND(ISNUMBER(C16),ISNUMBER(B16)),B16,0)+IF(AND(ISNUMBER(C17),ISNUMBER(B17)),B17,0)+IF(AND(ISNUMBER(C20),ISNUMBER(B20)),B20,0)+IF(AND(ISNUMBER(C21),ISNUMBER(B21)),B21,0)+IF(AND(ISNUMBER(C22),ISNUMBER(B22)),B22,0)+IF(AND(ISNUMBER(C23),ISNUMBER(B23)),B23,0)+IF(AND(ISNUMBER(C24),ISNUMBER(B24)),B24,0)+IF(AND(ISNUMBER(C25),ISNUMBER(B25)),B25,0)+IF(AND(ISNUMBER(C26),ISNUMBER(B26)),B26,0)+IF(AND(ISNUMBER(C29),ISNUMBER(B29)),B29,0)+IF(AND(ISNUMBER(C30),ISNUMBER(B30)),B30,0)+IF(AND(ISNUMBER(C31),ISNUMBER(B31)),B31,0)+IF(AND(ISNUMBER(C32),ISNUMBER(B32)),B32,0)+IF(AND(ISNUMBER(C33),ISNUMBER(B33)),B33,0)+IF(AND(ISNUMBER(C34),ISNUMBER(B34)),B34,0)+IF(AND(ISNUMBER(C35),ISNUMBER(B35)),B35,0)+IF(AND(ISNUMBER(C38),ISNUMBER(B38)),B38,0)+IF(AND(ISNUMBER(C39),ISNUMBER(B39)),B39,0)+IF(AND(ISNUMBER(C40),ISNUMBER(B40)),B40,0)+IF(AND(ISNUMBER(C41),ISNUMBER(B41)),B41,0)+IF(AND(ISNUMBER(C42),ISNUMBER(B42)),B42,0)+IF(AND(ISNUMBER(C43),ISNUMBER(B43)),B43,0)+IF(AND(ISNUMBER(C44),ISNUMBER(B44)),B44,0)))</f>
      </c>
      <c r="D48" s="42">
        <f>IF(COUNT(D9,D18,D27,D36,D46)=0,"",SUM(D9,D18,D27,D36,D46))</f>
      </c>
      <c r="E48" s="43"/>
      <c r="F48" s="42">
        <f>IF(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=0,"",(IF(AND(ISNUMBER(F6),ISNUMBER(B6)),F6*B6,0)+IF(AND(ISNUMBER(F7),ISNUMBER(B7)),F7*B7,0)+IF(AND(ISNUMBER(F8),ISNUMBER(B8)),F8*B8,0)+IF(AND(ISNUMBER(F11),ISNUMBER(B11)),F11*B11,0)+IF(AND(ISNUMBER(F12),ISNUMBER(B12)),F12*B12,0)+IF(AND(ISNUMBER(F13),ISNUMBER(B13)),F13*B13,0)+IF(AND(ISNUMBER(F14),ISNUMBER(B14)),F14*B14,0)+IF(AND(ISNUMBER(F15),ISNUMBER(B15)),F15*B15,0)+IF(AND(ISNUMBER(F16),ISNUMBER(B16)),F16*B16,0)+IF(AND(ISNUMBER(F17),ISNUMBER(B17)),F17*B17,0)+IF(AND(ISNUMBER(F20),ISNUMBER(B20)),F20*B20,0)+IF(AND(ISNUMBER(F21),ISNUMBER(B21)),F21*B21,0)+IF(AND(ISNUMBER(F22),ISNUMBER(B22)),F22*B22,0)+IF(AND(ISNUMBER(F23),ISNUMBER(B23)),F23*B23,0)+IF(AND(ISNUMBER(F24),ISNUMBER(B24)),F24*B24,0)+IF(AND(ISNUMBER(F25),ISNUMBER(B25)),F25*B25,0)+IF(AND(ISNUMBER(F26),ISNUMBER(B26)),F26*B26,0)+IF(AND(ISNUMBER(F29),ISNUMBER(B29)),F29*B29,0)+IF(AND(ISNUMBER(F30),ISNUMBER(B30)),F30*B30,0)+IF(AND(ISNUMBER(F31),ISNUMBER(B31)),F31*B31,0)+IF(AND(ISNUMBER(F32),ISNUMBER(B32)),F32*B32,0)+IF(AND(ISNUMBER(F33),ISNUMBER(B33)),F33*B33,0)+IF(AND(ISNUMBER(F34),ISNUMBER(B34)),F34*B34,0)+IF(AND(ISNUMBER(F35),ISNUMBER(B35)),F35*B35,0)+IF(AND(ISNUMBER(F38),ISNUMBER(B38)),F38*B38,0)+IF(AND(ISNUMBER(F39),ISNUMBER(B39)),F39*B39,0)+IF(AND(ISNUMBER(F40),ISNUMBER(B40)),F40*B40,0)+IF(AND(ISNUMBER(F41),ISNUMBER(B41)),F41*B41,0)+IF(AND(ISNUMBER(F42),ISNUMBER(B42)),F42*B42,0)+IF(AND(ISNUMBER(F43),ISNUMBER(B43)),F43*B43,0)+IF(AND(ISNUMBER(F44),ISNUMBER(B44)),F44*B44,0))/(IF(AND(ISNUMBER(F6),ISNUMBER(B6)),B6,0)+IF(AND(ISNUMBER(F7),ISNUMBER(B7)),B7,0)+IF(AND(ISNUMBER(F8),ISNUMBER(B8)),B8,0)+IF(AND(ISNUMBER(F11),ISNUMBER(B11)),B11,0)+IF(AND(ISNUMBER(F12),ISNUMBER(B12)),B12,0)+IF(AND(ISNUMBER(F13),ISNUMBER(B13)),B13,0)+IF(AND(ISNUMBER(F14),ISNUMBER(B14)),B14,0)+IF(AND(ISNUMBER(F15),ISNUMBER(B15)),B15,0)+IF(AND(ISNUMBER(F16),ISNUMBER(B16)),B16,0)+IF(AND(ISNUMBER(F17),ISNUMBER(B17)),B17,0)+IF(AND(ISNUMBER(F20),ISNUMBER(B20)),B20,0)+IF(AND(ISNUMBER(F21),ISNUMBER(B21)),B21,0)+IF(AND(ISNUMBER(F22),ISNUMBER(B22)),B22,0)+IF(AND(ISNUMBER(F23),ISNUMBER(B23)),B23,0)+IF(AND(ISNUMBER(F24),ISNUMBER(B24)),B24,0)+IF(AND(ISNUMBER(F25),ISNUMBER(B25)),B25,0)+IF(AND(ISNUMBER(F26),ISNUMBER(B26)),B26,0)+IF(AND(ISNUMBER(F29),ISNUMBER(B29)),B29,0)+IF(AND(ISNUMBER(F30),ISNUMBER(B30)),B30,0)+IF(AND(ISNUMBER(F31),ISNUMBER(B31)),B31,0)+IF(AND(ISNUMBER(F32),ISNUMBER(B32)),B32,0)+IF(AND(ISNUMBER(F33),ISNUMBER(B33)),B33,0)+IF(AND(ISNUMBER(F34),ISNUMBER(B34)),B34,0)+IF(AND(ISNUMBER(F35),ISNUMBER(B35)),B35,0)+IF(AND(ISNUMBER(F38),ISNUMBER(B38)),B38,0)+IF(AND(ISNUMBER(F39),ISNUMBER(B39)),B39,0)+IF(AND(ISNUMBER(F40),ISNUMBER(B40)),B40,0)+IF(AND(ISNUMBER(F41),ISNUMBER(B41)),B41,0)+IF(AND(ISNUMBER(F42),ISNUMBER(B42)),B42,0)+IF(AND(ISNUMBER(F43),ISNUMBER(B43)),B43,0)+IF(AND(ISNUMBER(F44),ISNUMBER(B44)),B44,0)))</f>
      </c>
      <c r="G48" s="42">
        <f>IF(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=0,"",(IF(AND(ISNUMBER(G6),ISNUMBER(B6)),G6*B6,0)+IF(AND(ISNUMBER(G7),ISNUMBER(B7)),G7*B7,0)+IF(AND(ISNUMBER(G8),ISNUMBER(B8)),G8*B8,0)+IF(AND(ISNUMBER(G11),ISNUMBER(B11)),G11*B11,0)+IF(AND(ISNUMBER(G12),ISNUMBER(B12)),G12*B12,0)+IF(AND(ISNUMBER(G13),ISNUMBER(B13)),G13*B13,0)+IF(AND(ISNUMBER(G14),ISNUMBER(B14)),G14*B14,0)+IF(AND(ISNUMBER(G15),ISNUMBER(B15)),G15*B15,0)+IF(AND(ISNUMBER(G16),ISNUMBER(B16)),G16*B16,0)+IF(AND(ISNUMBER(G17),ISNUMBER(B17)),G17*B17,0)+IF(AND(ISNUMBER(G20),ISNUMBER(B20)),G20*B20,0)+IF(AND(ISNUMBER(G21),ISNUMBER(B21)),G21*B21,0)+IF(AND(ISNUMBER(G22),ISNUMBER(B22)),G22*B22,0)+IF(AND(ISNUMBER(G23),ISNUMBER(B23)),G23*B23,0)+IF(AND(ISNUMBER(G24),ISNUMBER(B24)),G24*B24,0)+IF(AND(ISNUMBER(G25),ISNUMBER(B25)),G25*B25,0)+IF(AND(ISNUMBER(G26),ISNUMBER(B26)),G26*B26,0)+IF(AND(ISNUMBER(G29),ISNUMBER(B29)),G29*B29,0)+IF(AND(ISNUMBER(G30),ISNUMBER(B30)),G30*B30,0)+IF(AND(ISNUMBER(G31),ISNUMBER(B31)),G31*B31,0)+IF(AND(ISNUMBER(G32),ISNUMBER(B32)),G32*B32,0)+IF(AND(ISNUMBER(G33),ISNUMBER(B33)),G33*B33,0)+IF(AND(ISNUMBER(G34),ISNUMBER(B34)),G34*B34,0)+IF(AND(ISNUMBER(G35),ISNUMBER(B35)),G35*B35,0)+IF(AND(ISNUMBER(G38),ISNUMBER(B38)),G38*B38,0)+IF(AND(ISNUMBER(G39),ISNUMBER(B39)),G39*B39,0)+IF(AND(ISNUMBER(G40),ISNUMBER(B40)),G40*B40,0)+IF(AND(ISNUMBER(G41),ISNUMBER(B41)),G41*B41,0)+IF(AND(ISNUMBER(G42),ISNUMBER(B42)),G42*B42,0)+IF(AND(ISNUMBER(G43),ISNUMBER(B43)),G43*B43,0)+IF(AND(ISNUMBER(G44),ISNUMBER(B44)),G44*B44,0))/(IF(AND(ISNUMBER(G6),ISNUMBER(B6)),B6,0)+IF(AND(ISNUMBER(G7),ISNUMBER(B7)),B7,0)+IF(AND(ISNUMBER(G8),ISNUMBER(B8)),B8,0)+IF(AND(ISNUMBER(G11),ISNUMBER(B11)),B11,0)+IF(AND(ISNUMBER(G12),ISNUMBER(B12)),B12,0)+IF(AND(ISNUMBER(G13),ISNUMBER(B13)),B13,0)+IF(AND(ISNUMBER(G14),ISNUMBER(B14)),B14,0)+IF(AND(ISNUMBER(G15),ISNUMBER(B15)),B15,0)+IF(AND(ISNUMBER(G16),ISNUMBER(B16)),B16,0)+IF(AND(ISNUMBER(G17),ISNUMBER(B17)),B17,0)+IF(AND(ISNUMBER(G20),ISNUMBER(B20)),B20,0)+IF(AND(ISNUMBER(G21),ISNUMBER(B21)),B21,0)+IF(AND(ISNUMBER(G22),ISNUMBER(B22)),B22,0)+IF(AND(ISNUMBER(G23),ISNUMBER(B23)),B23,0)+IF(AND(ISNUMBER(G24),ISNUMBER(B24)),B24,0)+IF(AND(ISNUMBER(G25),ISNUMBER(B25)),B25,0)+IF(AND(ISNUMBER(G26),ISNUMBER(B26)),B26,0)+IF(AND(ISNUMBER(G29),ISNUMBER(B29)),B29,0)+IF(AND(ISNUMBER(G30),ISNUMBER(B30)),B30,0)+IF(AND(ISNUMBER(G31),ISNUMBER(B31)),B31,0)+IF(AND(ISNUMBER(G32),ISNUMBER(B32)),B32,0)+IF(AND(ISNUMBER(G33),ISNUMBER(B33)),B33,0)+IF(AND(ISNUMBER(G34),ISNUMBER(B34)),B34,0)+IF(AND(ISNUMBER(G35),ISNUMBER(B35)),B35,0)+IF(AND(ISNUMBER(G38),ISNUMBER(B38)),B38,0)+IF(AND(ISNUMBER(G39),ISNUMBER(B39)),B39,0)+IF(AND(ISNUMBER(G40),ISNUMBER(B40)),B40,0)+IF(AND(ISNUMBER(G41),ISNUMBER(B41)),B41,0)+IF(AND(ISNUMBER(G42),ISNUMBER(B42)),B42,0)+IF(AND(ISNUMBER(G43),ISNUMBER(B43)),B43,0)+IF(AND(ISNUMBER(G44),ISNUMBER(B44)),B44,0)))</f>
      </c>
      <c r="H48" s="42">
        <f>IF(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=0,"",(IF(AND(ISNUMBER(H6),ISNUMBER(B6)),H6*B6,0)+IF(AND(ISNUMBER(H7),ISNUMBER(B7)),H7*B7,0)+IF(AND(ISNUMBER(H8),ISNUMBER(B8)),H8*B8,0)+IF(AND(ISNUMBER(H11),ISNUMBER(B11)),H11*B11,0)+IF(AND(ISNUMBER(H12),ISNUMBER(B12)),H12*B12,0)+IF(AND(ISNUMBER(H13),ISNUMBER(B13)),H13*B13,0)+IF(AND(ISNUMBER(H14),ISNUMBER(B14)),H14*B14,0)+IF(AND(ISNUMBER(H15),ISNUMBER(B15)),H15*B15,0)+IF(AND(ISNUMBER(H16),ISNUMBER(B16)),H16*B16,0)+IF(AND(ISNUMBER(H17),ISNUMBER(B17)),H17*B17,0)+IF(AND(ISNUMBER(H20),ISNUMBER(B20)),H20*B20,0)+IF(AND(ISNUMBER(H21),ISNUMBER(B21)),H21*B21,0)+IF(AND(ISNUMBER(H22),ISNUMBER(B22)),H22*B22,0)+IF(AND(ISNUMBER(H23),ISNUMBER(B23)),H23*B23,0)+IF(AND(ISNUMBER(H24),ISNUMBER(B24)),H24*B24,0)+IF(AND(ISNUMBER(H25),ISNUMBER(B25)),H25*B25,0)+IF(AND(ISNUMBER(H26),ISNUMBER(B26)),H26*B26,0)+IF(AND(ISNUMBER(H29),ISNUMBER(B29)),H29*B29,0)+IF(AND(ISNUMBER(H30),ISNUMBER(B30)),H30*B30,0)+IF(AND(ISNUMBER(H31),ISNUMBER(B31)),H31*B31,0)+IF(AND(ISNUMBER(H32),ISNUMBER(B32)),H32*B32,0)+IF(AND(ISNUMBER(H33),ISNUMBER(B33)),H33*B33,0)+IF(AND(ISNUMBER(H34),ISNUMBER(B34)),H34*B34,0)+IF(AND(ISNUMBER(H35),ISNUMBER(B35)),H35*B35,0)+IF(AND(ISNUMBER(H38),ISNUMBER(B38)),H38*B38,0)+IF(AND(ISNUMBER(H39),ISNUMBER(B39)),H39*B39,0)+IF(AND(ISNUMBER(H40),ISNUMBER(B40)),H40*B40,0)+IF(AND(ISNUMBER(H41),ISNUMBER(B41)),H41*B41,0)+IF(AND(ISNUMBER(H42),ISNUMBER(B42)),H42*B42,0)+IF(AND(ISNUMBER(H43),ISNUMBER(B43)),H43*B43,0)+IF(AND(ISNUMBER(H44),ISNUMBER(B44)),H44*B44,0))/(IF(AND(ISNUMBER(H6),ISNUMBER(B6)),B6,0)+IF(AND(ISNUMBER(H7),ISNUMBER(B7)),B7,0)+IF(AND(ISNUMBER(H8),ISNUMBER(B8)),B8,0)+IF(AND(ISNUMBER(H11),ISNUMBER(B11)),B11,0)+IF(AND(ISNUMBER(H12),ISNUMBER(B12)),B12,0)+IF(AND(ISNUMBER(H13),ISNUMBER(B13)),B13,0)+IF(AND(ISNUMBER(H14),ISNUMBER(B14)),B14,0)+IF(AND(ISNUMBER(H15),ISNUMBER(B15)),B15,0)+IF(AND(ISNUMBER(H16),ISNUMBER(B16)),B16,0)+IF(AND(ISNUMBER(H17),ISNUMBER(B17)),B17,0)+IF(AND(ISNUMBER(H20),ISNUMBER(B20)),B20,0)+IF(AND(ISNUMBER(H21),ISNUMBER(B21)),B21,0)+IF(AND(ISNUMBER(H22),ISNUMBER(B22)),B22,0)+IF(AND(ISNUMBER(H23),ISNUMBER(B23)),B23,0)+IF(AND(ISNUMBER(H24),ISNUMBER(B24)),B24,0)+IF(AND(ISNUMBER(H25),ISNUMBER(B25)),B25,0)+IF(AND(ISNUMBER(H26),ISNUMBER(B26)),B26,0)+IF(AND(ISNUMBER(H29),ISNUMBER(B29)),B29,0)+IF(AND(ISNUMBER(H30),ISNUMBER(B30)),B30,0)+IF(AND(ISNUMBER(H31),ISNUMBER(B31)),B31,0)+IF(AND(ISNUMBER(H32),ISNUMBER(B32)),B32,0)+IF(AND(ISNUMBER(H33),ISNUMBER(B33)),B33,0)+IF(AND(ISNUMBER(H34),ISNUMBER(B34)),B34,0)+IF(AND(ISNUMBER(H35),ISNUMBER(B35)),B35,0)+IF(AND(ISNUMBER(H38),ISNUMBER(B38)),B38,0)+IF(AND(ISNUMBER(H39),ISNUMBER(B39)),B39,0)+IF(AND(ISNUMBER(H40),ISNUMBER(B40)),B40,0)+IF(AND(ISNUMBER(H41),ISNUMBER(B41)),B41,0)+IF(AND(ISNUMBER(H42),ISNUMBER(B42)),B42,0)+IF(AND(ISNUMBER(H43),ISNUMBER(B43)),B43,0)+IF(AND(ISNUMBER(H44),ISNUMBER(B44)),B44,0)))</f>
      </c>
      <c r="I48" s="43"/>
      <c r="J48" s="42"/>
      <c r="K48" s="42"/>
      <c r="L48" s="42"/>
      <c r="M48" s="42">
        <f>IF(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=0,"",(IF(AND(ISNUMBER(M6),ISNUMBER(B6)),M6*B6,0)+IF(AND(ISNUMBER(M7),ISNUMBER(B7)),M7*B7,0)+IF(AND(ISNUMBER(M8),ISNUMBER(B8)),M8*B8,0)+IF(AND(ISNUMBER(M11),ISNUMBER(B11)),M11*B11,0)+IF(AND(ISNUMBER(M12),ISNUMBER(B12)),M12*B12,0)+IF(AND(ISNUMBER(M13),ISNUMBER(B13)),M13*B13,0)+IF(AND(ISNUMBER(M14),ISNUMBER(B14)),M14*B14,0)+IF(AND(ISNUMBER(M15),ISNUMBER(B15)),M15*B15,0)+IF(AND(ISNUMBER(M16),ISNUMBER(B16)),M16*B16,0)+IF(AND(ISNUMBER(M17),ISNUMBER(B17)),M17*B17,0)+IF(AND(ISNUMBER(M20),ISNUMBER(B20)),M20*B20,0)+IF(AND(ISNUMBER(M21),ISNUMBER(B21)),M21*B21,0)+IF(AND(ISNUMBER(M22),ISNUMBER(B22)),M22*B22,0)+IF(AND(ISNUMBER(M23),ISNUMBER(B23)),M23*B23,0)+IF(AND(ISNUMBER(M24),ISNUMBER(B24)),M24*B24,0)+IF(AND(ISNUMBER(M25),ISNUMBER(B25)),M25*B25,0)+IF(AND(ISNUMBER(M26),ISNUMBER(B26)),M26*B26,0)+IF(AND(ISNUMBER(M29),ISNUMBER(B29)),M29*B29,0)+IF(AND(ISNUMBER(M30),ISNUMBER(B30)),M30*B30,0)+IF(AND(ISNUMBER(M31),ISNUMBER(B31)),M31*B31,0)+IF(AND(ISNUMBER(M32),ISNUMBER(B32)),M32*B32,0)+IF(AND(ISNUMBER(M33),ISNUMBER(B33)),M33*B33,0)+IF(AND(ISNUMBER(M34),ISNUMBER(B34)),M34*B34,0)+IF(AND(ISNUMBER(M35),ISNUMBER(B35)),M35*B35,0)+IF(AND(ISNUMBER(M38),ISNUMBER(B38)),M38*B38,0)+IF(AND(ISNUMBER(M39),ISNUMBER(B39)),M39*B39,0)+IF(AND(ISNUMBER(M40),ISNUMBER(B40)),M40*B40,0)+IF(AND(ISNUMBER(M41),ISNUMBER(B41)),M41*B41,0)+IF(AND(ISNUMBER(M42),ISNUMBER(B42)),M42*B42,0)+IF(AND(ISNUMBER(M43),ISNUMBER(B43)),M43*B43,0)+IF(AND(ISNUMBER(M44),ISNUMBER(B44)),M44*B44,0))/(IF(AND(ISNUMBER(M6),ISNUMBER(B6)),B6,0)+IF(AND(ISNUMBER(M7),ISNUMBER(B7)),B7,0)+IF(AND(ISNUMBER(M8),ISNUMBER(B8)),B8,0)+IF(AND(ISNUMBER(M11),ISNUMBER(B11)),B11,0)+IF(AND(ISNUMBER(M12),ISNUMBER(B12)),B12,0)+IF(AND(ISNUMBER(M13),ISNUMBER(B13)),B13,0)+IF(AND(ISNUMBER(M14),ISNUMBER(B14)),B14,0)+IF(AND(ISNUMBER(M15),ISNUMBER(B15)),B15,0)+IF(AND(ISNUMBER(M16),ISNUMBER(B16)),B16,0)+IF(AND(ISNUMBER(M17),ISNUMBER(B17)),B17,0)+IF(AND(ISNUMBER(M20),ISNUMBER(B20)),B20,0)+IF(AND(ISNUMBER(M21),ISNUMBER(B21)),B21,0)+IF(AND(ISNUMBER(M22),ISNUMBER(B22)),B22,0)+IF(AND(ISNUMBER(M23),ISNUMBER(B23)),B23,0)+IF(AND(ISNUMBER(M24),ISNUMBER(B24)),B24,0)+IF(AND(ISNUMBER(M25),ISNUMBER(B25)),B25,0)+IF(AND(ISNUMBER(M26),ISNUMBER(B26)),B26,0)+IF(AND(ISNUMBER(M29),ISNUMBER(B29)),B29,0)+IF(AND(ISNUMBER(M30),ISNUMBER(B30)),B30,0)+IF(AND(ISNUMBER(M31),ISNUMBER(B31)),B31,0)+IF(AND(ISNUMBER(M32),ISNUMBER(B32)),B32,0)+IF(AND(ISNUMBER(M33),ISNUMBER(B33)),B33,0)+IF(AND(ISNUMBER(M34),ISNUMBER(B34)),B34,0)+IF(AND(ISNUMBER(M35),ISNUMBER(B35)),B35,0)+IF(AND(ISNUMBER(M38),ISNUMBER(B38)),B38,0)+IF(AND(ISNUMBER(M39),ISNUMBER(B39)),B39,0)+IF(AND(ISNUMBER(M40),ISNUMBER(B40)),B40,0)+IF(AND(ISNUMBER(M41),ISNUMBER(B41)),B41,0)+IF(AND(ISNUMBER(M42),ISNUMBER(B42)),B42,0)+IF(AND(ISNUMBER(M43),ISNUMBER(B43)),B43,0)+IF(AND(ISNUMBER(M44),ISNUMBER(B44)),B44,0)))</f>
      </c>
      <c r="N48" s="43"/>
      <c r="O48" s="42">
        <f>IF(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=0,"",(IF(AND(ISNUMBER(O6),ISNUMBER(B6)),O6*B6,0)+IF(AND(ISNUMBER(O7),ISNUMBER(B7)),O7*B7,0)+IF(AND(ISNUMBER(O8),ISNUMBER(B8)),O8*B8,0)+IF(AND(ISNUMBER(O11),ISNUMBER(B11)),O11*B11,0)+IF(AND(ISNUMBER(O12),ISNUMBER(B12)),O12*B12,0)+IF(AND(ISNUMBER(O13),ISNUMBER(B13)),O13*B13,0)+IF(AND(ISNUMBER(O14),ISNUMBER(B14)),O14*B14,0)+IF(AND(ISNUMBER(O15),ISNUMBER(B15)),O15*B15,0)+IF(AND(ISNUMBER(O16),ISNUMBER(B16)),O16*B16,0)+IF(AND(ISNUMBER(O17),ISNUMBER(B17)),O17*B17,0)+IF(AND(ISNUMBER(O20),ISNUMBER(B20)),O20*B20,0)+IF(AND(ISNUMBER(O21),ISNUMBER(B21)),O21*B21,0)+IF(AND(ISNUMBER(O22),ISNUMBER(B22)),O22*B22,0)+IF(AND(ISNUMBER(O23),ISNUMBER(B23)),O23*B23,0)+IF(AND(ISNUMBER(O24),ISNUMBER(B24)),O24*B24,0)+IF(AND(ISNUMBER(O25),ISNUMBER(B25)),O25*B25,0)+IF(AND(ISNUMBER(O26),ISNUMBER(B26)),O26*B26,0)+IF(AND(ISNUMBER(O29),ISNUMBER(B29)),O29*B29,0)+IF(AND(ISNUMBER(O30),ISNUMBER(B30)),O30*B30,0)+IF(AND(ISNUMBER(O31),ISNUMBER(B31)),O31*B31,0)+IF(AND(ISNUMBER(O32),ISNUMBER(B32)),O32*B32,0)+IF(AND(ISNUMBER(O33),ISNUMBER(B33)),O33*B33,0)+IF(AND(ISNUMBER(O34),ISNUMBER(B34)),O34*B34,0)+IF(AND(ISNUMBER(O35),ISNUMBER(B35)),O35*B35,0)+IF(AND(ISNUMBER(O38),ISNUMBER(B38)),O38*B38,0)+IF(AND(ISNUMBER(O39),ISNUMBER(B39)),O39*B39,0)+IF(AND(ISNUMBER(O40),ISNUMBER(B40)),O40*B40,0)+IF(AND(ISNUMBER(O41),ISNUMBER(B41)),O41*B41,0)+IF(AND(ISNUMBER(O42),ISNUMBER(B42)),O42*B42,0)+IF(AND(ISNUMBER(O43),ISNUMBER(B43)),O43*B43,0)+IF(AND(ISNUMBER(O44),ISNUMBER(B44)),O44*B44,0))/(IF(AND(ISNUMBER(O6),ISNUMBER(B6)),B6,0)+IF(AND(ISNUMBER(O7),ISNUMBER(B7)),B7,0)+IF(AND(ISNUMBER(O8),ISNUMBER(B8)),B8,0)+IF(AND(ISNUMBER(O11),ISNUMBER(B11)),B11,0)+IF(AND(ISNUMBER(O12),ISNUMBER(B12)),B12,0)+IF(AND(ISNUMBER(O13),ISNUMBER(B13)),B13,0)+IF(AND(ISNUMBER(O14),ISNUMBER(B14)),B14,0)+IF(AND(ISNUMBER(O15),ISNUMBER(B15)),B15,0)+IF(AND(ISNUMBER(O16),ISNUMBER(B16)),B16,0)+IF(AND(ISNUMBER(O17),ISNUMBER(B17)),B17,0)+IF(AND(ISNUMBER(O20),ISNUMBER(B20)),B20,0)+IF(AND(ISNUMBER(O21),ISNUMBER(B21)),B21,0)+IF(AND(ISNUMBER(O22),ISNUMBER(B22)),B22,0)+IF(AND(ISNUMBER(O23),ISNUMBER(B23)),B23,0)+IF(AND(ISNUMBER(O24),ISNUMBER(B24)),B24,0)+IF(AND(ISNUMBER(O25),ISNUMBER(B25)),B25,0)+IF(AND(ISNUMBER(O26),ISNUMBER(B26)),B26,0)+IF(AND(ISNUMBER(O29),ISNUMBER(B29)),B29,0)+IF(AND(ISNUMBER(O30),ISNUMBER(B30)),B30,0)+IF(AND(ISNUMBER(O31),ISNUMBER(B31)),B31,0)+IF(AND(ISNUMBER(O32),ISNUMBER(B32)),B32,0)+IF(AND(ISNUMBER(O33),ISNUMBER(B33)),B33,0)+IF(AND(ISNUMBER(O34),ISNUMBER(B34)),B34,0)+IF(AND(ISNUMBER(O35),ISNUMBER(B35)),B35,0)+IF(AND(ISNUMBER(O38),ISNUMBER(B38)),B38,0)+IF(AND(ISNUMBER(O39),ISNUMBER(B39)),B39,0)+IF(AND(ISNUMBER(O40),ISNUMBER(B40)),B40,0)+IF(AND(ISNUMBER(O41),ISNUMBER(B41)),B41,0)+IF(AND(ISNUMBER(O42),ISNUMBER(B42)),B42,0)+IF(AND(ISNUMBER(O43),ISNUMBER(B43)),B43,0)+IF(AND(ISNUMBER(O44),ISNUMBER(B44)),B44,0)))</f>
      </c>
      <c r="P48" s="43"/>
      <c r="Q48" s="42"/>
      <c r="R48" s="42"/>
      <c r="S48" s="42"/>
      <c r="T48" s="42"/>
      <c r="U48" s="42">
        <f>IF(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=0,"",(IF(AND(ISNUMBER(U6),ISNUMBER(B6)),U6*B6,0)+IF(AND(ISNUMBER(U7),ISNUMBER(B7)),U7*B7,0)+IF(AND(ISNUMBER(U8),ISNUMBER(B8)),U8*B8,0)+IF(AND(ISNUMBER(U11),ISNUMBER(B11)),U11*B11,0)+IF(AND(ISNUMBER(U12),ISNUMBER(B12)),U12*B12,0)+IF(AND(ISNUMBER(U13),ISNUMBER(B13)),U13*B13,0)+IF(AND(ISNUMBER(U14),ISNUMBER(B14)),U14*B14,0)+IF(AND(ISNUMBER(U15),ISNUMBER(B15)),U15*B15,0)+IF(AND(ISNUMBER(U16),ISNUMBER(B16)),U16*B16,0)+IF(AND(ISNUMBER(U17),ISNUMBER(B17)),U17*B17,0)+IF(AND(ISNUMBER(U20),ISNUMBER(B20)),U20*B20,0)+IF(AND(ISNUMBER(U21),ISNUMBER(B21)),U21*B21,0)+IF(AND(ISNUMBER(U22),ISNUMBER(B22)),U22*B22,0)+IF(AND(ISNUMBER(U23),ISNUMBER(B23)),U23*B23,0)+IF(AND(ISNUMBER(U24),ISNUMBER(B24)),U24*B24,0)+IF(AND(ISNUMBER(U25),ISNUMBER(B25)),U25*B25,0)+IF(AND(ISNUMBER(U26),ISNUMBER(B26)),U26*B26,0)+IF(AND(ISNUMBER(U29),ISNUMBER(B29)),U29*B29,0)+IF(AND(ISNUMBER(U30),ISNUMBER(B30)),U30*B30,0)+IF(AND(ISNUMBER(U31),ISNUMBER(B31)),U31*B31,0)+IF(AND(ISNUMBER(U32),ISNUMBER(B32)),U32*B32,0)+IF(AND(ISNUMBER(U33),ISNUMBER(B33)),U33*B33,0)+IF(AND(ISNUMBER(U34),ISNUMBER(B34)),U34*B34,0)+IF(AND(ISNUMBER(U35),ISNUMBER(B35)),U35*B35,0)+IF(AND(ISNUMBER(U38),ISNUMBER(B38)),U38*B38,0)+IF(AND(ISNUMBER(U39),ISNUMBER(B39)),U39*B39,0)+IF(AND(ISNUMBER(U40),ISNUMBER(B40)),U40*B40,0)+IF(AND(ISNUMBER(U41),ISNUMBER(B41)),U41*B41,0)+IF(AND(ISNUMBER(U42),ISNUMBER(B42)),U42*B42,0)+IF(AND(ISNUMBER(U43),ISNUMBER(B43)),U43*B43,0)+IF(AND(ISNUMBER(U44),ISNUMBER(B44)),U44*B44,0))/(IF(AND(ISNUMBER(U6),ISNUMBER(B6)),B6,0)+IF(AND(ISNUMBER(U7),ISNUMBER(B7)),B7,0)+IF(AND(ISNUMBER(U8),ISNUMBER(B8)),B8,0)+IF(AND(ISNUMBER(U11),ISNUMBER(B11)),B11,0)+IF(AND(ISNUMBER(U12),ISNUMBER(B12)),B12,0)+IF(AND(ISNUMBER(U13),ISNUMBER(B13)),B13,0)+IF(AND(ISNUMBER(U14),ISNUMBER(B14)),B14,0)+IF(AND(ISNUMBER(U15),ISNUMBER(B15)),B15,0)+IF(AND(ISNUMBER(U16),ISNUMBER(B16)),B16,0)+IF(AND(ISNUMBER(U17),ISNUMBER(B17)),B17,0)+IF(AND(ISNUMBER(U20),ISNUMBER(B20)),B20,0)+IF(AND(ISNUMBER(U21),ISNUMBER(B21)),B21,0)+IF(AND(ISNUMBER(U22),ISNUMBER(B22)),B22,0)+IF(AND(ISNUMBER(U23),ISNUMBER(B23)),B23,0)+IF(AND(ISNUMBER(U24),ISNUMBER(B24)),B24,0)+IF(AND(ISNUMBER(U25),ISNUMBER(B25)),B25,0)+IF(AND(ISNUMBER(U26),ISNUMBER(B26)),B26,0)+IF(AND(ISNUMBER(U29),ISNUMBER(B29)),B29,0)+IF(AND(ISNUMBER(U30),ISNUMBER(B30)),B30,0)+IF(AND(ISNUMBER(U31),ISNUMBER(B31)),B31,0)+IF(AND(ISNUMBER(U32),ISNUMBER(B32)),B32,0)+IF(AND(ISNUMBER(U33),ISNUMBER(B33)),B33,0)+IF(AND(ISNUMBER(U34),ISNUMBER(B34)),B34,0)+IF(AND(ISNUMBER(U35),ISNUMBER(B35)),B35,0)+IF(AND(ISNUMBER(U38),ISNUMBER(B38)),B38,0)+IF(AND(ISNUMBER(U39),ISNUMBER(B39)),B39,0)+IF(AND(ISNUMBER(U40),ISNUMBER(B40)),B40,0)+IF(AND(ISNUMBER(U41),ISNUMBER(B41)),B41,0)+IF(AND(ISNUMBER(U42),ISNUMBER(B42)),B42,0)+IF(AND(ISNUMBER(U43),ISNUMBER(B43)),B43,0)+IF(AND(ISNUMBER(U44),ISNUMBER(B44)),B44,0)))</f>
      </c>
      <c r="V48" s="43"/>
      <c r="W48" s="42">
        <f>IF(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=0,"",(IF(AND(ISNUMBER(W6),ISNUMBER(B6)),W6*B6,0)+IF(AND(ISNUMBER(W7),ISNUMBER(B7)),W7*B7,0)+IF(AND(ISNUMBER(W8),ISNUMBER(B8)),W8*B8,0)+IF(AND(ISNUMBER(W11),ISNUMBER(B11)),W11*B11,0)+IF(AND(ISNUMBER(W12),ISNUMBER(B12)),W12*B12,0)+IF(AND(ISNUMBER(W13),ISNUMBER(B13)),W13*B13,0)+IF(AND(ISNUMBER(W14),ISNUMBER(B14)),W14*B14,0)+IF(AND(ISNUMBER(W15),ISNUMBER(B15)),W15*B15,0)+IF(AND(ISNUMBER(W16),ISNUMBER(B16)),W16*B16,0)+IF(AND(ISNUMBER(W17),ISNUMBER(B17)),W17*B17,0)+IF(AND(ISNUMBER(W20),ISNUMBER(B20)),W20*B20,0)+IF(AND(ISNUMBER(W21),ISNUMBER(B21)),W21*B21,0)+IF(AND(ISNUMBER(W22),ISNUMBER(B22)),W22*B22,0)+IF(AND(ISNUMBER(W23),ISNUMBER(B23)),W23*B23,0)+IF(AND(ISNUMBER(W24),ISNUMBER(B24)),W24*B24,0)+IF(AND(ISNUMBER(W25),ISNUMBER(B25)),W25*B25,0)+IF(AND(ISNUMBER(W26),ISNUMBER(B26)),W26*B26,0)+IF(AND(ISNUMBER(W29),ISNUMBER(B29)),W29*B29,0)+IF(AND(ISNUMBER(W30),ISNUMBER(B30)),W30*B30,0)+IF(AND(ISNUMBER(W31),ISNUMBER(B31)),W31*B31,0)+IF(AND(ISNUMBER(W32),ISNUMBER(B32)),W32*B32,0)+IF(AND(ISNUMBER(W33),ISNUMBER(B33)),W33*B33,0)+IF(AND(ISNUMBER(W34),ISNUMBER(B34)),W34*B34,0)+IF(AND(ISNUMBER(W35),ISNUMBER(B35)),W35*B35,0)+IF(AND(ISNUMBER(W38),ISNUMBER(B38)),W38*B38,0)+IF(AND(ISNUMBER(W39),ISNUMBER(B39)),W39*B39,0)+IF(AND(ISNUMBER(W40),ISNUMBER(B40)),W40*B40,0)+IF(AND(ISNUMBER(W41),ISNUMBER(B41)),W41*B41,0)+IF(AND(ISNUMBER(W42),ISNUMBER(B42)),W42*B42,0)+IF(AND(ISNUMBER(W43),ISNUMBER(B43)),W43*B43,0)+IF(AND(ISNUMBER(W44),ISNUMBER(B44)),W44*B44,0))/(IF(AND(ISNUMBER(W6),ISNUMBER(B6)),B6,0)+IF(AND(ISNUMBER(W7),ISNUMBER(B7)),B7,0)+IF(AND(ISNUMBER(W8),ISNUMBER(B8)),B8,0)+IF(AND(ISNUMBER(W11),ISNUMBER(B11)),B11,0)+IF(AND(ISNUMBER(W12),ISNUMBER(B12)),B12,0)+IF(AND(ISNUMBER(W13),ISNUMBER(B13)),B13,0)+IF(AND(ISNUMBER(W14),ISNUMBER(B14)),B14,0)+IF(AND(ISNUMBER(W15),ISNUMBER(B15)),B15,0)+IF(AND(ISNUMBER(W16),ISNUMBER(B16)),B16,0)+IF(AND(ISNUMBER(W17),ISNUMBER(B17)),B17,0)+IF(AND(ISNUMBER(W20),ISNUMBER(B20)),B20,0)+IF(AND(ISNUMBER(W21),ISNUMBER(B21)),B21,0)+IF(AND(ISNUMBER(W22),ISNUMBER(B22)),B22,0)+IF(AND(ISNUMBER(W23),ISNUMBER(B23)),B23,0)+IF(AND(ISNUMBER(W24),ISNUMBER(B24)),B24,0)+IF(AND(ISNUMBER(W25),ISNUMBER(B25)),B25,0)+IF(AND(ISNUMBER(W26),ISNUMBER(B26)),B26,0)+IF(AND(ISNUMBER(W29),ISNUMBER(B29)),B29,0)+IF(AND(ISNUMBER(W30),ISNUMBER(B30)),B30,0)+IF(AND(ISNUMBER(W31),ISNUMBER(B31)),B31,0)+IF(AND(ISNUMBER(W32),ISNUMBER(B32)),B32,0)+IF(AND(ISNUMBER(W33),ISNUMBER(B33)),B33,0)+IF(AND(ISNUMBER(W34),ISNUMBER(B34)),B34,0)+IF(AND(ISNUMBER(W35),ISNUMBER(B35)),B35,0)+IF(AND(ISNUMBER(W38),ISNUMBER(B38)),B38,0)+IF(AND(ISNUMBER(W39),ISNUMBER(B39)),B39,0)+IF(AND(ISNUMBER(W40),ISNUMBER(B40)),B40,0)+IF(AND(ISNUMBER(W41),ISNUMBER(B41)),B41,0)+IF(AND(ISNUMBER(W42),ISNUMBER(B42)),B42,0)+IF(AND(ISNUMBER(W43),ISNUMBER(B43)),B43,0)+IF(AND(ISNUMBER(W44),ISNUMBER(B44)),B44,0)))</f>
      </c>
      <c r="X48" s="43"/>
      <c r="Y48" s="42">
        <f>IF(COUNT(Y9,Y18,Y27,Y36,Y46)=0,"",SUM(Y9,Y18,Y27,Y36,Y46))</f>
      </c>
      <c r="Z48" s="42">
        <f>IF(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=0,"",(IF(AND(ISNUMBER(Z6),ISNUMBER(B6)),Z6*B6,0)+IF(AND(ISNUMBER(Z7),ISNUMBER(B7)),Z7*B7,0)+IF(AND(ISNUMBER(Z8),ISNUMBER(B8)),Z8*B8,0)+IF(AND(ISNUMBER(Z11),ISNUMBER(B11)),Z11*B11,0)+IF(AND(ISNUMBER(Z12),ISNUMBER(B12)),Z12*B12,0)+IF(AND(ISNUMBER(Z13),ISNUMBER(B13)),Z13*B13,0)+IF(AND(ISNUMBER(Z14),ISNUMBER(B14)),Z14*B14,0)+IF(AND(ISNUMBER(Z15),ISNUMBER(B15)),Z15*B15,0)+IF(AND(ISNUMBER(Z16),ISNUMBER(B16)),Z16*B16,0)+IF(AND(ISNUMBER(Z17),ISNUMBER(B17)),Z17*B17,0)+IF(AND(ISNUMBER(Z20),ISNUMBER(B20)),Z20*B20,0)+IF(AND(ISNUMBER(Z21),ISNUMBER(B21)),Z21*B21,0)+IF(AND(ISNUMBER(Z22),ISNUMBER(B22)),Z22*B22,0)+IF(AND(ISNUMBER(Z23),ISNUMBER(B23)),Z23*B23,0)+IF(AND(ISNUMBER(Z24),ISNUMBER(B24)),Z24*B24,0)+IF(AND(ISNUMBER(Z25),ISNUMBER(B25)),Z25*B25,0)+IF(AND(ISNUMBER(Z26),ISNUMBER(B26)),Z26*B26,0)+IF(AND(ISNUMBER(Z29),ISNUMBER(B29)),Z29*B29,0)+IF(AND(ISNUMBER(Z30),ISNUMBER(B30)),Z30*B30,0)+IF(AND(ISNUMBER(Z31),ISNUMBER(B31)),Z31*B31,0)+IF(AND(ISNUMBER(Z32),ISNUMBER(B32)),Z32*B32,0)+IF(AND(ISNUMBER(Z33),ISNUMBER(B33)),Z33*B33,0)+IF(AND(ISNUMBER(Z34),ISNUMBER(B34)),Z34*B34,0)+IF(AND(ISNUMBER(Z35),ISNUMBER(B35)),Z35*B35,0)+IF(AND(ISNUMBER(Z38),ISNUMBER(B38)),Z38*B38,0)+IF(AND(ISNUMBER(Z39),ISNUMBER(B39)),Z39*B39,0)+IF(AND(ISNUMBER(Z40),ISNUMBER(B40)),Z40*B40,0)+IF(AND(ISNUMBER(Z41),ISNUMBER(B41)),Z41*B41,0)+IF(AND(ISNUMBER(Z42),ISNUMBER(B42)),Z42*B42,0)+IF(AND(ISNUMBER(Z43),ISNUMBER(B43)),Z43*B43,0)+IF(AND(ISNUMBER(Z44),ISNUMBER(B44)),Z44*B44,0))/(IF(AND(ISNUMBER(Z6),ISNUMBER(B6)),B6,0)+IF(AND(ISNUMBER(Z7),ISNUMBER(B7)),B7,0)+IF(AND(ISNUMBER(Z8),ISNUMBER(B8)),B8,0)+IF(AND(ISNUMBER(Z11),ISNUMBER(B11)),B11,0)+IF(AND(ISNUMBER(Z12),ISNUMBER(B12)),B12,0)+IF(AND(ISNUMBER(Z13),ISNUMBER(B13)),B13,0)+IF(AND(ISNUMBER(Z14),ISNUMBER(B14)),B14,0)+IF(AND(ISNUMBER(Z15),ISNUMBER(B15)),B15,0)+IF(AND(ISNUMBER(Z16),ISNUMBER(B16)),B16,0)+IF(AND(ISNUMBER(Z17),ISNUMBER(B17)),B17,0)+IF(AND(ISNUMBER(Z20),ISNUMBER(B20)),B20,0)+IF(AND(ISNUMBER(Z21),ISNUMBER(B21)),B21,0)+IF(AND(ISNUMBER(Z22),ISNUMBER(B22)),B22,0)+IF(AND(ISNUMBER(Z23),ISNUMBER(B23)),B23,0)+IF(AND(ISNUMBER(Z24),ISNUMBER(B24)),B24,0)+IF(AND(ISNUMBER(Z25),ISNUMBER(B25)),B25,0)+IF(AND(ISNUMBER(Z26),ISNUMBER(B26)),B26,0)+IF(AND(ISNUMBER(Z29),ISNUMBER(B29)),B29,0)+IF(AND(ISNUMBER(Z30),ISNUMBER(B30)),B30,0)+IF(AND(ISNUMBER(Z31),ISNUMBER(B31)),B31,0)+IF(AND(ISNUMBER(Z32),ISNUMBER(B32)),B32,0)+IF(AND(ISNUMBER(Z33),ISNUMBER(B33)),B33,0)+IF(AND(ISNUMBER(Z34),ISNUMBER(B34)),B34,0)+IF(AND(ISNUMBER(Z35),ISNUMBER(B35)),B35,0)+IF(AND(ISNUMBER(Z38),ISNUMBER(B38)),B38,0)+IF(AND(ISNUMBER(Z39),ISNUMBER(B39)),B39,0)+IF(AND(ISNUMBER(Z40),ISNUMBER(B40)),B40,0)+IF(AND(ISNUMBER(Z41),ISNUMBER(B41)),B41,0)+IF(AND(ISNUMBER(Z42),ISNUMBER(B42)),B42,0)+IF(AND(ISNUMBER(Z43),ISNUMBER(B43)),B43,0)+IF(AND(ISNUMBER(Z44),ISNUMBER(B44)),B44,0)))</f>
      </c>
      <c r="AA48" s="43"/>
      <c r="AB48" s="42">
        <f>IF(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=0,"",(IF(AND(ISNUMBER(AB6),ISNUMBER(B6)),AB6*B6,0)+IF(AND(ISNUMBER(AB7),ISNUMBER(B7)),AB7*B7,0)+IF(AND(ISNUMBER(AB8),ISNUMBER(B8)),AB8*B8,0)+IF(AND(ISNUMBER(AB11),ISNUMBER(B11)),AB11*B11,0)+IF(AND(ISNUMBER(AB12),ISNUMBER(B12)),AB12*B12,0)+IF(AND(ISNUMBER(AB13),ISNUMBER(B13)),AB13*B13,0)+IF(AND(ISNUMBER(AB14),ISNUMBER(B14)),AB14*B14,0)+IF(AND(ISNUMBER(AB15),ISNUMBER(B15)),AB15*B15,0)+IF(AND(ISNUMBER(AB16),ISNUMBER(B16)),AB16*B16,0)+IF(AND(ISNUMBER(AB17),ISNUMBER(B17)),AB17*B17,0)+IF(AND(ISNUMBER(AB20),ISNUMBER(B20)),AB20*B20,0)+IF(AND(ISNUMBER(AB21),ISNUMBER(B21)),AB21*B21,0)+IF(AND(ISNUMBER(AB22),ISNUMBER(B22)),AB22*B22,0)+IF(AND(ISNUMBER(AB23),ISNUMBER(B23)),AB23*B23,0)+IF(AND(ISNUMBER(AB24),ISNUMBER(B24)),AB24*B24,0)+IF(AND(ISNUMBER(AB25),ISNUMBER(B25)),AB25*B25,0)+IF(AND(ISNUMBER(AB26),ISNUMBER(B26)),AB26*B26,0)+IF(AND(ISNUMBER(AB29),ISNUMBER(B29)),AB29*B29,0)+IF(AND(ISNUMBER(AB30),ISNUMBER(B30)),AB30*B30,0)+IF(AND(ISNUMBER(AB31),ISNUMBER(B31)),AB31*B31,0)+IF(AND(ISNUMBER(AB32),ISNUMBER(B32)),AB32*B32,0)+IF(AND(ISNUMBER(AB33),ISNUMBER(B33)),AB33*B33,0)+IF(AND(ISNUMBER(AB34),ISNUMBER(B34)),AB34*B34,0)+IF(AND(ISNUMBER(AB35),ISNUMBER(B35)),AB35*B35,0)+IF(AND(ISNUMBER(AB38),ISNUMBER(B38)),AB38*B38,0)+IF(AND(ISNUMBER(AB39),ISNUMBER(B39)),AB39*B39,0)+IF(AND(ISNUMBER(AB40),ISNUMBER(B40)),AB40*B40,0)+IF(AND(ISNUMBER(AB41),ISNUMBER(B41)),AB41*B41,0)+IF(AND(ISNUMBER(AB42),ISNUMBER(B42)),AB42*B42,0)+IF(AND(ISNUMBER(AB43),ISNUMBER(B43)),AB43*B43,0)+IF(AND(ISNUMBER(AB44),ISNUMBER(B44)),AB44*B44,0))/(IF(AND(ISNUMBER(AB6),ISNUMBER(B6)),B6,0)+IF(AND(ISNUMBER(AB7),ISNUMBER(B7)),B7,0)+IF(AND(ISNUMBER(AB8),ISNUMBER(B8)),B8,0)+IF(AND(ISNUMBER(AB11),ISNUMBER(B11)),B11,0)+IF(AND(ISNUMBER(AB12),ISNUMBER(B12)),B12,0)+IF(AND(ISNUMBER(AB13),ISNUMBER(B13)),B13,0)+IF(AND(ISNUMBER(AB14),ISNUMBER(B14)),B14,0)+IF(AND(ISNUMBER(AB15),ISNUMBER(B15)),B15,0)+IF(AND(ISNUMBER(AB16),ISNUMBER(B16)),B16,0)+IF(AND(ISNUMBER(AB17),ISNUMBER(B17)),B17,0)+IF(AND(ISNUMBER(AB20),ISNUMBER(B20)),B20,0)+IF(AND(ISNUMBER(AB21),ISNUMBER(B21)),B21,0)+IF(AND(ISNUMBER(AB22),ISNUMBER(B22)),B22,0)+IF(AND(ISNUMBER(AB23),ISNUMBER(B23)),B23,0)+IF(AND(ISNUMBER(AB24),ISNUMBER(B24)),B24,0)+IF(AND(ISNUMBER(AB25),ISNUMBER(B25)),B25,0)+IF(AND(ISNUMBER(AB26),ISNUMBER(B26)),B26,0)+IF(AND(ISNUMBER(AB29),ISNUMBER(B29)),B29,0)+IF(AND(ISNUMBER(AB30),ISNUMBER(B30)),B30,0)+IF(AND(ISNUMBER(AB31),ISNUMBER(B31)),B31,0)+IF(AND(ISNUMBER(AB32),ISNUMBER(B32)),B32,0)+IF(AND(ISNUMBER(AB33),ISNUMBER(B33)),B33,0)+IF(AND(ISNUMBER(AB34),ISNUMBER(B34)),B34,0)+IF(AND(ISNUMBER(AB35),ISNUMBER(B35)),B35,0)+IF(AND(ISNUMBER(AB38),ISNUMBER(B38)),B38,0)+IF(AND(ISNUMBER(AB39),ISNUMBER(B39)),B39,0)+IF(AND(ISNUMBER(AB40),ISNUMBER(B40)),B40,0)+IF(AND(ISNUMBER(AB41),ISNUMBER(B41)),B41,0)+IF(AND(ISNUMBER(AB42),ISNUMBER(B42)),B42,0)+IF(AND(ISNUMBER(AB43),ISNUMBER(B43)),B43,0)+IF(AND(ISNUMBER(AB44),ISNUMBER(B44)),B44,0)))</f>
      </c>
      <c r="AC48" s="43"/>
      <c r="AD48" s="42">
        <f>IF(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=0,"",(IF(AND(ISNUMBER(AD6),ISNUMBER(B6)),AD6*B6,0)+IF(AND(ISNUMBER(AD7),ISNUMBER(B7)),AD7*B7,0)+IF(AND(ISNUMBER(AD8),ISNUMBER(B8)),AD8*B8,0)+IF(AND(ISNUMBER(AD11),ISNUMBER(B11)),AD11*B11,0)+IF(AND(ISNUMBER(AD12),ISNUMBER(B12)),AD12*B12,0)+IF(AND(ISNUMBER(AD13),ISNUMBER(B13)),AD13*B13,0)+IF(AND(ISNUMBER(AD14),ISNUMBER(B14)),AD14*B14,0)+IF(AND(ISNUMBER(AD15),ISNUMBER(B15)),AD15*B15,0)+IF(AND(ISNUMBER(AD16),ISNUMBER(B16)),AD16*B16,0)+IF(AND(ISNUMBER(AD17),ISNUMBER(B17)),AD17*B17,0)+IF(AND(ISNUMBER(AD20),ISNUMBER(B20)),AD20*B20,0)+IF(AND(ISNUMBER(AD21),ISNUMBER(B21)),AD21*B21,0)+IF(AND(ISNUMBER(AD22),ISNUMBER(B22)),AD22*B22,0)+IF(AND(ISNUMBER(AD23),ISNUMBER(B23)),AD23*B23,0)+IF(AND(ISNUMBER(AD24),ISNUMBER(B24)),AD24*B24,0)+IF(AND(ISNUMBER(AD25),ISNUMBER(B25)),AD25*B25,0)+IF(AND(ISNUMBER(AD26),ISNUMBER(B26)),AD26*B26,0)+IF(AND(ISNUMBER(AD29),ISNUMBER(B29)),AD29*B29,0)+IF(AND(ISNUMBER(AD30),ISNUMBER(B30)),AD30*B30,0)+IF(AND(ISNUMBER(AD31),ISNUMBER(B31)),AD31*B31,0)+IF(AND(ISNUMBER(AD32),ISNUMBER(B32)),AD32*B32,0)+IF(AND(ISNUMBER(AD33),ISNUMBER(B33)),AD33*B33,0)+IF(AND(ISNUMBER(AD34),ISNUMBER(B34)),AD34*B34,0)+IF(AND(ISNUMBER(AD35),ISNUMBER(B35)),AD35*B35,0)+IF(AND(ISNUMBER(AD38),ISNUMBER(B38)),AD38*B38,0)+IF(AND(ISNUMBER(AD39),ISNUMBER(B39)),AD39*B39,0)+IF(AND(ISNUMBER(AD40),ISNUMBER(B40)),AD40*B40,0)+IF(AND(ISNUMBER(AD41),ISNUMBER(B41)),AD41*B41,0)+IF(AND(ISNUMBER(AD42),ISNUMBER(B42)),AD42*B42,0)+IF(AND(ISNUMBER(AD43),ISNUMBER(B43)),AD43*B43,0)+IF(AND(ISNUMBER(AD44),ISNUMBER(B44)),AD44*B44,0))/(IF(AND(ISNUMBER(AD6),ISNUMBER(B6)),B6,0)+IF(AND(ISNUMBER(AD7),ISNUMBER(B7)),B7,0)+IF(AND(ISNUMBER(AD8),ISNUMBER(B8)),B8,0)+IF(AND(ISNUMBER(AD11),ISNUMBER(B11)),B11,0)+IF(AND(ISNUMBER(AD12),ISNUMBER(B12)),B12,0)+IF(AND(ISNUMBER(AD13),ISNUMBER(B13)),B13,0)+IF(AND(ISNUMBER(AD14),ISNUMBER(B14)),B14,0)+IF(AND(ISNUMBER(AD15),ISNUMBER(B15)),B15,0)+IF(AND(ISNUMBER(AD16),ISNUMBER(B16)),B16,0)+IF(AND(ISNUMBER(AD17),ISNUMBER(B17)),B17,0)+IF(AND(ISNUMBER(AD20),ISNUMBER(B20)),B20,0)+IF(AND(ISNUMBER(AD21),ISNUMBER(B21)),B21,0)+IF(AND(ISNUMBER(AD22),ISNUMBER(B22)),B22,0)+IF(AND(ISNUMBER(AD23),ISNUMBER(B23)),B23,0)+IF(AND(ISNUMBER(AD24),ISNUMBER(B24)),B24,0)+IF(AND(ISNUMBER(AD25),ISNUMBER(B25)),B25,0)+IF(AND(ISNUMBER(AD26),ISNUMBER(B26)),B26,0)+IF(AND(ISNUMBER(AD29),ISNUMBER(B29)),B29,0)+IF(AND(ISNUMBER(AD30),ISNUMBER(B30)),B30,0)+IF(AND(ISNUMBER(AD31),ISNUMBER(B31)),B31,0)+IF(AND(ISNUMBER(AD32),ISNUMBER(B32)),B32,0)+IF(AND(ISNUMBER(AD33),ISNUMBER(B33)),B33,0)+IF(AND(ISNUMBER(AD34),ISNUMBER(B34)),B34,0)+IF(AND(ISNUMBER(AD35),ISNUMBER(B35)),B35,0)+IF(AND(ISNUMBER(AD38),ISNUMBER(B38)),B38,0)+IF(AND(ISNUMBER(AD39),ISNUMBER(B39)),B39,0)+IF(AND(ISNUMBER(AD40),ISNUMBER(B40)),B40,0)+IF(AND(ISNUMBER(AD41),ISNUMBER(B41)),B41,0)+IF(AND(ISNUMBER(AD42),ISNUMBER(B42)),B42,0)+IF(AND(ISNUMBER(AD43),ISNUMBER(B43)),B43,0)+IF(AND(ISNUMBER(AD44),ISNUMBER(B44)),B44,0)))</f>
      </c>
      <c r="AE48" s="43"/>
      <c r="AF48" s="42">
        <f>IF(OR(NOT(ISNUMBER(B48)),B48=0),"",AG48/B48)</f>
      </c>
      <c r="AG48" s="44">
        <f>IF(COUNT(AG9,AG18,AG27,AG36,AG46)=0,"",SUM(AG9,AG18,AG27,AG36,AG46))</f>
      </c>
    </row>
  </sheetData>
  <mergeCells count="8">
    <mergeCell ref="A1:D1"/>
    <mergeCell ref="B4:D4"/>
    <mergeCell ref="F4:H4"/>
    <mergeCell ref="J4:M4"/>
    <mergeCell ref="Q4:U4"/>
    <mergeCell ref="Y4:Z4"/>
    <mergeCell ref="AF4:AG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9" max="9" width="4" customWidth="1"/>
    <col min="10" max="10" width="14" customWidth="1"/>
    <col min="11" max="11" width="16" customWidth="1"/>
  </cols>
  <sheetData>
    <row r="1" ht="32" customHeight="1" spans="1:40" x14ac:dyDescent="0.25">
      <c r="A1" s="46" t="s">
        <v>78</v>
      </c>
      <c r="B1" s="46" t="s">
        <v>79</v>
      </c>
      <c r="C1" s="46"/>
      <c r="J1" s="46" t="s">
        <v>80</v>
      </c>
      <c r="K1" s="46" t="s">
        <v>81</v>
      </c>
    </row>
    <row r="2" spans="1:11" x14ac:dyDescent="0.25">
      <c r="A2" s="47">
        <v>1</v>
      </c>
      <c r="B2" s="47"/>
      <c r="C2" s="47"/>
      <c r="J2" s="48"/>
      <c r="K2" s="48"/>
    </row>
    <row r="3" spans="1:11" x14ac:dyDescent="0.25">
      <c r="A3" s="47">
        <v>2</v>
      </c>
      <c r="B3" s="47"/>
      <c r="C3" s="47"/>
      <c r="J3" s="48"/>
      <c r="K3" s="48"/>
    </row>
    <row r="4" spans="1:11" x14ac:dyDescent="0.25">
      <c r="A4" s="47">
        <v>3</v>
      </c>
      <c r="B4" s="47"/>
      <c r="C4" s="47"/>
      <c r="J4" s="48"/>
      <c r="K4" s="48"/>
    </row>
    <row r="5" spans="1:11" x14ac:dyDescent="0.25">
      <c r="A5" s="47">
        <v>4</v>
      </c>
      <c r="B5" s="47"/>
      <c r="C5" s="47"/>
      <c r="J5" s="48"/>
      <c r="K5" s="48"/>
    </row>
    <row r="6" spans="1:11" x14ac:dyDescent="0.25">
      <c r="A6" s="47">
        <v>5</v>
      </c>
      <c r="B6" s="47"/>
      <c r="C6" s="47"/>
      <c r="J6" s="48"/>
      <c r="K6" s="48"/>
    </row>
    <row r="7" spans="1:11" x14ac:dyDescent="0.25">
      <c r="A7" s="47">
        <v>6</v>
      </c>
      <c r="B7" s="47"/>
      <c r="C7" s="47"/>
      <c r="J7" s="48"/>
      <c r="K7" s="48"/>
    </row>
    <row r="8" spans="1:11" x14ac:dyDescent="0.25">
      <c r="A8" s="47">
        <v>7</v>
      </c>
      <c r="B8" s="47"/>
      <c r="C8" s="47"/>
      <c r="J8" s="48"/>
      <c r="K8" s="48"/>
    </row>
    <row r="9" spans="1:11" x14ac:dyDescent="0.25">
      <c r="A9" s="47">
        <v>8</v>
      </c>
      <c r="B9" s="47"/>
      <c r="C9" s="47"/>
      <c r="J9" s="48"/>
      <c r="K9" s="48"/>
    </row>
    <row r="10" spans="1:11" x14ac:dyDescent="0.25">
      <c r="A10" s="47">
        <v>9</v>
      </c>
      <c r="B10" s="47"/>
      <c r="C10" s="47"/>
      <c r="J10" s="48"/>
      <c r="K10" s="48"/>
    </row>
    <row r="11" spans="1:11" x14ac:dyDescent="0.25">
      <c r="A11" s="47">
        <v>10</v>
      </c>
      <c r="B11" s="47"/>
      <c r="C11" s="47"/>
      <c r="J11" s="48"/>
      <c r="K11" s="48"/>
    </row>
    <row r="12" spans="1:11" x14ac:dyDescent="0.25">
      <c r="A12" s="47">
        <v>11</v>
      </c>
      <c r="B12" s="47"/>
      <c r="C12" s="47"/>
      <c r="J12" s="48"/>
      <c r="K12" s="48"/>
    </row>
    <row r="13" spans="1:11" x14ac:dyDescent="0.25">
      <c r="A13" s="47">
        <v>12</v>
      </c>
      <c r="B13" s="49">
        <v>0</v>
      </c>
      <c r="C13" s="47"/>
      <c r="J13" s="50">
        <v>0</v>
      </c>
      <c r="K13" s="50">
        <v>0</v>
      </c>
    </row>
    <row r="14" spans="1:11" x14ac:dyDescent="0.25">
      <c r="A14" s="47">
        <v>13</v>
      </c>
      <c r="B14" s="49">
        <v>0</v>
      </c>
      <c r="C14" s="47"/>
      <c r="J14" s="50">
        <v>0</v>
      </c>
      <c r="K14" s="50">
        <v>0</v>
      </c>
    </row>
    <row r="15" spans="1:11" x14ac:dyDescent="0.25">
      <c r="A15" s="47">
        <v>14</v>
      </c>
      <c r="B15" s="49">
        <v>0</v>
      </c>
      <c r="C15" s="47"/>
      <c r="J15" s="50">
        <v>0</v>
      </c>
      <c r="K15" s="50">
        <v>0</v>
      </c>
    </row>
    <row r="16" spans="1:11" x14ac:dyDescent="0.25">
      <c r="A16" s="47">
        <v>15</v>
      </c>
      <c r="B16" s="49">
        <v>0</v>
      </c>
      <c r="C16" s="47"/>
      <c r="J16" s="50">
        <v>0</v>
      </c>
      <c r="K16" s="50">
        <v>0</v>
      </c>
    </row>
    <row r="17" spans="1:11" x14ac:dyDescent="0.25">
      <c r="A17" s="47">
        <v>16</v>
      </c>
      <c r="B17" s="49">
        <v>0</v>
      </c>
      <c r="C17" s="47"/>
      <c r="J17" s="50">
        <v>0</v>
      </c>
      <c r="K17" s="50">
        <v>0</v>
      </c>
    </row>
    <row r="18" spans="1:11" x14ac:dyDescent="0.25">
      <c r="A18" s="47">
        <v>17</v>
      </c>
      <c r="B18" s="49">
        <v>0</v>
      </c>
      <c r="C18" s="47"/>
      <c r="J18" s="50">
        <v>0</v>
      </c>
      <c r="K18" s="50">
        <v>0</v>
      </c>
    </row>
    <row r="19" spans="1:11" x14ac:dyDescent="0.25">
      <c r="A19" s="47">
        <v>18</v>
      </c>
      <c r="B19" s="49">
        <v>0</v>
      </c>
      <c r="C19" s="47"/>
      <c r="J19" s="50">
        <v>0</v>
      </c>
      <c r="K19" s="50">
        <v>0</v>
      </c>
    </row>
    <row r="20" spans="1:11" x14ac:dyDescent="0.25">
      <c r="A20" s="47">
        <v>19</v>
      </c>
      <c r="B20" s="49">
        <v>0</v>
      </c>
      <c r="C20" s="47"/>
      <c r="J20" s="50">
        <v>0</v>
      </c>
      <c r="K20" s="50">
        <v>0</v>
      </c>
    </row>
    <row r="21" spans="1:11" x14ac:dyDescent="0.25">
      <c r="A21" s="47">
        <v>20</v>
      </c>
      <c r="B21" s="49">
        <v>0</v>
      </c>
      <c r="C21" s="47"/>
      <c r="J21" s="50">
        <v>0</v>
      </c>
      <c r="K21" s="50">
        <v>0</v>
      </c>
    </row>
    <row r="22" spans="1:11" x14ac:dyDescent="0.25">
      <c r="A22" s="47">
        <v>21</v>
      </c>
      <c r="B22" s="49">
        <v>0</v>
      </c>
      <c r="C22" s="47"/>
      <c r="J22" s="50">
        <v>0</v>
      </c>
      <c r="K22" s="50">
        <v>0</v>
      </c>
    </row>
    <row r="23" spans="1:11" x14ac:dyDescent="0.25">
      <c r="A23" s="47">
        <v>22</v>
      </c>
      <c r="B23" s="49">
        <v>0</v>
      </c>
      <c r="C23" s="47"/>
      <c r="J23" s="50">
        <v>0</v>
      </c>
      <c r="K23" s="50">
        <v>0</v>
      </c>
    </row>
    <row r="24" spans="1:11" x14ac:dyDescent="0.25">
      <c r="A24" s="47">
        <v>23</v>
      </c>
      <c r="B24" s="49">
        <v>0</v>
      </c>
      <c r="C24" s="47"/>
      <c r="J24" s="50">
        <v>0</v>
      </c>
      <c r="K24" s="50">
        <v>0</v>
      </c>
    </row>
    <row r="25" spans="1:11" x14ac:dyDescent="0.25">
      <c r="A25" s="47">
        <v>24</v>
      </c>
      <c r="B25" s="49">
        <v>0</v>
      </c>
      <c r="C25" s="47"/>
      <c r="J25" s="50">
        <v>0</v>
      </c>
      <c r="K25" s="50">
        <v>0</v>
      </c>
    </row>
    <row r="26" spans="1:11" x14ac:dyDescent="0.25">
      <c r="A26" s="47">
        <v>25</v>
      </c>
      <c r="B26" s="49">
        <v>0</v>
      </c>
      <c r="C26" s="47"/>
      <c r="J26" s="50">
        <v>0</v>
      </c>
      <c r="K26" s="50">
        <v>0</v>
      </c>
    </row>
    <row r="27" spans="1:11" x14ac:dyDescent="0.25">
      <c r="A27" s="47">
        <v>26</v>
      </c>
      <c r="B27" s="49">
        <v>0</v>
      </c>
      <c r="C27" s="47"/>
      <c r="J27" s="50">
        <v>0</v>
      </c>
      <c r="K27" s="50">
        <v>0</v>
      </c>
    </row>
    <row r="28" spans="1:11" x14ac:dyDescent="0.25">
      <c r="A28" s="47">
        <v>27</v>
      </c>
      <c r="B28" s="49">
        <v>0</v>
      </c>
      <c r="C28" s="47"/>
      <c r="J28" s="50">
        <v>0</v>
      </c>
      <c r="K28" s="50">
        <v>0</v>
      </c>
    </row>
    <row r="29" spans="1:11" x14ac:dyDescent="0.25">
      <c r="A29" s="47">
        <v>28</v>
      </c>
      <c r="B29" s="49">
        <v>0</v>
      </c>
      <c r="C29" s="47"/>
      <c r="J29" s="50">
        <v>0</v>
      </c>
      <c r="K29" s="50">
        <v>0</v>
      </c>
    </row>
    <row r="30" spans="1:11" x14ac:dyDescent="0.25">
      <c r="A30" s="47">
        <v>29</v>
      </c>
      <c r="B30" s="49">
        <v>0</v>
      </c>
      <c r="C30" s="47"/>
      <c r="J30" s="50">
        <v>0</v>
      </c>
      <c r="K30" s="50">
        <v>0</v>
      </c>
    </row>
    <row r="31" spans="1:11" x14ac:dyDescent="0.25">
      <c r="A31" s="47">
        <v>30</v>
      </c>
      <c r="B31" s="49">
        <v>0</v>
      </c>
      <c r="C31" s="47"/>
      <c r="J31" s="50">
        <v>0</v>
      </c>
      <c r="K31" s="50">
        <v>0</v>
      </c>
    </row>
    <row r="32" spans="1:11" x14ac:dyDescent="0.25">
      <c r="A32" s="47">
        <v>31</v>
      </c>
      <c r="B32" s="49">
        <v>0</v>
      </c>
      <c r="C32" s="47"/>
      <c r="J32" s="50">
        <v>0</v>
      </c>
      <c r="K32" s="50">
        <v>0</v>
      </c>
    </row>
    <row r="33" spans="1:11" x14ac:dyDescent="0.25">
      <c r="A33" s="51"/>
      <c r="B33" s="51"/>
      <c r="C33" s="51"/>
      <c r="J33" s="51"/>
      <c r="K33" s="51"/>
    </row>
    <row r="34" spans="1:11" x14ac:dyDescent="0.25">
      <c r="A34" s="51" t="s">
        <v>82</v>
      </c>
      <c r="B34" s="52">
        <v>0</v>
      </c>
      <c r="C34" s="51"/>
      <c r="J34" s="52">
        <v>0</v>
      </c>
      <c r="K34" s="52">
        <v>0</v>
      </c>
    </row>
    <row r="35" spans="1:11" x14ac:dyDescent="0.25">
      <c r="A35" s="51" t="s">
        <v>83</v>
      </c>
      <c r="B35" s="52">
        <v>0</v>
      </c>
      <c r="C35" s="51"/>
      <c r="J35" s="52">
        <v>0</v>
      </c>
      <c r="K35" s="52">
        <v>0</v>
      </c>
    </row>
    <row r="36" spans="1:11" x14ac:dyDescent="0.25">
      <c r="A36" s="51" t="s">
        <v>84</v>
      </c>
      <c r="B36" s="52">
        <v>10</v>
      </c>
      <c r="C36" s="51"/>
      <c r="J36" s="51"/>
      <c r="K36" s="51"/>
    </row>
    <row r="37" spans="1:11" x14ac:dyDescent="0.25">
      <c r="A37" s="51" t="s">
        <v>85</v>
      </c>
      <c r="B37" s="51"/>
      <c r="C37" s="51"/>
      <c r="J37" s="51"/>
      <c r="K37" s="51"/>
    </row>
    <row r="38" spans="1:11" x14ac:dyDescent="0.25">
      <c r="A38" s="51" t="s">
        <v>86</v>
      </c>
      <c r="B38" s="51"/>
      <c r="C38" s="51"/>
      <c r="J38" s="51"/>
      <c r="K38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9" max="9" width="4" customWidth="1"/>
    <col min="10" max="10" width="14" customWidth="1"/>
    <col min="11" max="11" width="16" customWidth="1"/>
  </cols>
  <sheetData>
    <row r="1" ht="32" customHeight="1" spans="1:11" x14ac:dyDescent="0.25">
      <c r="A1" s="46" t="s">
        <v>78</v>
      </c>
      <c r="B1" s="46" t="s">
        <v>79</v>
      </c>
      <c r="J1" s="46" t="s">
        <v>80</v>
      </c>
      <c r="K1" s="46" t="s">
        <v>81</v>
      </c>
    </row>
    <row r="2" spans="1:11" x14ac:dyDescent="0.25">
      <c r="A2" s="47">
        <v>1</v>
      </c>
      <c r="B2" s="47"/>
      <c r="J2" s="47"/>
      <c r="K2" s="47"/>
    </row>
    <row r="3" spans="1:11" x14ac:dyDescent="0.25">
      <c r="A3" s="47">
        <v>2</v>
      </c>
      <c r="B3" s="47"/>
      <c r="J3" s="47"/>
      <c r="K3" s="47"/>
    </row>
    <row r="4" spans="1:11" x14ac:dyDescent="0.25">
      <c r="A4" s="47">
        <v>3</v>
      </c>
      <c r="B4" s="47"/>
      <c r="J4" s="47"/>
      <c r="K4" s="47"/>
    </row>
    <row r="5" spans="1:11" x14ac:dyDescent="0.25">
      <c r="A5" s="47">
        <v>4</v>
      </c>
      <c r="B5" s="47"/>
      <c r="J5" s="47"/>
      <c r="K5" s="47"/>
    </row>
    <row r="6" spans="1:11" x14ac:dyDescent="0.25">
      <c r="A6" s="47">
        <v>5</v>
      </c>
      <c r="B6" s="47"/>
      <c r="J6" s="47"/>
      <c r="K6" s="47"/>
    </row>
    <row r="7" spans="1:11" x14ac:dyDescent="0.25">
      <c r="A7" s="47">
        <v>6</v>
      </c>
      <c r="B7" s="47"/>
      <c r="J7" s="47"/>
      <c r="K7" s="47"/>
    </row>
    <row r="8" spans="1:11" x14ac:dyDescent="0.25">
      <c r="A8" s="47">
        <v>7</v>
      </c>
      <c r="B8" s="47"/>
      <c r="J8" s="47"/>
      <c r="K8" s="47"/>
    </row>
    <row r="9" spans="1:11" x14ac:dyDescent="0.25">
      <c r="A9" s="47">
        <v>8</v>
      </c>
      <c r="B9" s="47"/>
      <c r="J9" s="47"/>
      <c r="K9" s="47"/>
    </row>
    <row r="10" spans="1:11" x14ac:dyDescent="0.25">
      <c r="A10" s="47">
        <v>9</v>
      </c>
      <c r="B10" s="47"/>
      <c r="J10" s="47"/>
      <c r="K10" s="47"/>
    </row>
    <row r="11" spans="1:11" x14ac:dyDescent="0.25">
      <c r="A11" s="47">
        <v>10</v>
      </c>
      <c r="B11" s="47"/>
      <c r="J11" s="47"/>
      <c r="K11" s="47"/>
    </row>
    <row r="12" spans="1:11" x14ac:dyDescent="0.25">
      <c r="A12" s="47">
        <v>11</v>
      </c>
      <c r="B12" s="47"/>
      <c r="J12" s="47"/>
      <c r="K12" s="47"/>
    </row>
    <row r="13" spans="1:11" x14ac:dyDescent="0.25">
      <c r="A13" s="48">
        <v>12</v>
      </c>
      <c r="B13" s="53">
        <v>0</v>
      </c>
      <c r="J13" s="50">
        <v>0</v>
      </c>
      <c r="K13" s="50">
        <v>0</v>
      </c>
    </row>
    <row r="14" spans="1:11" x14ac:dyDescent="0.25">
      <c r="A14" s="48">
        <v>13</v>
      </c>
      <c r="B14" s="53">
        <v>0</v>
      </c>
      <c r="J14" s="50">
        <v>0</v>
      </c>
      <c r="K14" s="50">
        <v>0</v>
      </c>
    </row>
    <row r="15" spans="1:11" x14ac:dyDescent="0.25">
      <c r="A15" s="48">
        <v>14</v>
      </c>
      <c r="B15" s="53">
        <v>0</v>
      </c>
      <c r="J15" s="50">
        <v>0</v>
      </c>
      <c r="K15" s="50">
        <v>0</v>
      </c>
    </row>
    <row r="16" spans="1:11" x14ac:dyDescent="0.25">
      <c r="A16" s="48">
        <v>15</v>
      </c>
      <c r="B16" s="53">
        <v>0</v>
      </c>
      <c r="J16" s="50">
        <v>0</v>
      </c>
      <c r="K16" s="50">
        <v>0</v>
      </c>
    </row>
    <row r="17" spans="1:11" x14ac:dyDescent="0.25">
      <c r="A17" s="48">
        <v>16</v>
      </c>
      <c r="B17" s="53">
        <v>0</v>
      </c>
      <c r="J17" s="50">
        <v>0</v>
      </c>
      <c r="K17" s="50">
        <v>0</v>
      </c>
    </row>
    <row r="18" spans="1:11" x14ac:dyDescent="0.25">
      <c r="A18" s="48">
        <v>17</v>
      </c>
      <c r="B18" s="53">
        <v>0</v>
      </c>
      <c r="J18" s="50">
        <v>0</v>
      </c>
      <c r="K18" s="50">
        <v>0</v>
      </c>
    </row>
    <row r="19" spans="1:11" x14ac:dyDescent="0.25">
      <c r="A19" s="48">
        <v>18</v>
      </c>
      <c r="B19" s="53">
        <v>0</v>
      </c>
      <c r="J19" s="50">
        <v>0</v>
      </c>
      <c r="K19" s="50">
        <v>0</v>
      </c>
    </row>
    <row r="20" spans="1:11" x14ac:dyDescent="0.25">
      <c r="A20" s="48">
        <v>19</v>
      </c>
      <c r="B20" s="53">
        <v>0</v>
      </c>
      <c r="J20" s="50">
        <v>0</v>
      </c>
      <c r="K20" s="50">
        <v>0</v>
      </c>
    </row>
    <row r="21" spans="1:11" x14ac:dyDescent="0.25">
      <c r="A21" s="48">
        <v>20</v>
      </c>
      <c r="B21" s="53">
        <v>0</v>
      </c>
      <c r="J21" s="50">
        <v>0</v>
      </c>
      <c r="K21" s="50">
        <v>0</v>
      </c>
    </row>
    <row r="22" spans="1:11" x14ac:dyDescent="0.25">
      <c r="A22" s="48">
        <v>21</v>
      </c>
      <c r="B22" s="53">
        <v>0</v>
      </c>
      <c r="J22" s="50">
        <v>0</v>
      </c>
      <c r="K22" s="50">
        <v>0</v>
      </c>
    </row>
    <row r="23" spans="1:11" x14ac:dyDescent="0.25">
      <c r="A23" s="48">
        <v>22</v>
      </c>
      <c r="B23" s="53">
        <v>0</v>
      </c>
      <c r="J23" s="50">
        <v>0</v>
      </c>
      <c r="K23" s="50">
        <v>0</v>
      </c>
    </row>
    <row r="24" spans="1:11" x14ac:dyDescent="0.25">
      <c r="A24" s="48">
        <v>23</v>
      </c>
      <c r="B24" s="53">
        <v>0</v>
      </c>
      <c r="J24" s="50">
        <v>0</v>
      </c>
      <c r="K24" s="50">
        <v>0</v>
      </c>
    </row>
    <row r="25" spans="1:11" x14ac:dyDescent="0.25">
      <c r="A25" s="48">
        <v>24</v>
      </c>
      <c r="B25" s="53">
        <v>0</v>
      </c>
      <c r="J25" s="50">
        <v>0</v>
      </c>
      <c r="K25" s="50">
        <v>0</v>
      </c>
    </row>
    <row r="26" spans="1:11" x14ac:dyDescent="0.25">
      <c r="A26" s="48">
        <v>25</v>
      </c>
      <c r="B26" s="53">
        <v>0</v>
      </c>
      <c r="J26" s="50">
        <v>0</v>
      </c>
      <c r="K26" s="50">
        <v>0</v>
      </c>
    </row>
    <row r="27" spans="1:11" x14ac:dyDescent="0.25">
      <c r="A27" s="48">
        <v>26</v>
      </c>
      <c r="B27" s="53">
        <v>0</v>
      </c>
      <c r="J27" s="50">
        <v>0</v>
      </c>
      <c r="K27" s="50">
        <v>0</v>
      </c>
    </row>
    <row r="28" spans="1:11" x14ac:dyDescent="0.25">
      <c r="A28" s="48">
        <v>27</v>
      </c>
      <c r="B28" s="53">
        <v>0</v>
      </c>
      <c r="J28" s="50">
        <v>0</v>
      </c>
      <c r="K28" s="50">
        <v>0</v>
      </c>
    </row>
    <row r="29" spans="1:11" x14ac:dyDescent="0.25">
      <c r="A29" s="48">
        <v>28</v>
      </c>
      <c r="B29" s="53">
        <v>0</v>
      </c>
      <c r="J29" s="50">
        <v>0</v>
      </c>
      <c r="K29" s="50">
        <v>0</v>
      </c>
    </row>
    <row r="30" spans="1:11" x14ac:dyDescent="0.25">
      <c r="A30" s="48">
        <v>29</v>
      </c>
      <c r="B30" s="53">
        <v>0</v>
      </c>
      <c r="J30" s="50">
        <v>0</v>
      </c>
      <c r="K30" s="50">
        <v>0</v>
      </c>
    </row>
    <row r="31" spans="1:11" x14ac:dyDescent="0.25">
      <c r="A31" s="48">
        <v>30</v>
      </c>
      <c r="B31" s="53">
        <v>0</v>
      </c>
      <c r="J31" s="50">
        <v>0</v>
      </c>
      <c r="K31" s="50">
        <v>0</v>
      </c>
    </row>
    <row r="32" spans="1:11" x14ac:dyDescent="0.25">
      <c r="A32" s="48">
        <v>31</v>
      </c>
      <c r="B32" s="53">
        <v>0</v>
      </c>
      <c r="J32" s="50">
        <v>0</v>
      </c>
      <c r="K32" s="50">
        <v>0</v>
      </c>
    </row>
    <row r="33" spans="1:11" x14ac:dyDescent="0.25">
      <c r="A33" s="51"/>
      <c r="B33" s="51"/>
      <c r="J33" s="51"/>
      <c r="K33" s="51"/>
    </row>
    <row r="34" spans="1:11" x14ac:dyDescent="0.25">
      <c r="A34" s="51" t="s">
        <v>82</v>
      </c>
      <c r="B34" s="51"/>
      <c r="J34" s="51"/>
      <c r="K34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FormatPr defaultRowHeight="15" outlineLevelRow="0" outlineLevelCol="0" x14ac:dyDescent="55"/>
  <cols>
    <col min="1" max="1" width="15" customWidth="1"/>
    <col min="2" max="2" width="17" customWidth="1"/>
  </cols>
  <sheetData>
    <row r="1" spans="1:2" x14ac:dyDescent="0.25">
      <c r="A1" s="54" t="s">
        <v>35</v>
      </c>
      <c r="B1" s="54" t="s">
        <v>29</v>
      </c>
    </row>
    <row r="2" spans="1:2" x14ac:dyDescent="0.25">
      <c r="A2" s="55">
        <v>46296</v>
      </c>
      <c r="B2" s="56">
        <v>10.5</v>
      </c>
    </row>
    <row r="3" spans="1:2" x14ac:dyDescent="0.25">
      <c r="A3" s="55">
        <v>46297</v>
      </c>
      <c r="B3" s="56">
        <v>10.5</v>
      </c>
    </row>
    <row r="4" spans="1:2" x14ac:dyDescent="0.25">
      <c r="A4" s="55">
        <v>46298</v>
      </c>
      <c r="B4" s="56">
        <v>10.5</v>
      </c>
    </row>
    <row r="5" spans="1:2" x14ac:dyDescent="0.25">
      <c r="A5" s="55">
        <v>46299</v>
      </c>
      <c r="B5" s="56">
        <v>10.5</v>
      </c>
    </row>
    <row r="6" spans="1:2" x14ac:dyDescent="0.25">
      <c r="A6" s="55">
        <v>46300</v>
      </c>
      <c r="B6" s="56">
        <v>10.5</v>
      </c>
    </row>
    <row r="7" spans="1:2" x14ac:dyDescent="0.25">
      <c r="A7" s="55">
        <v>46301</v>
      </c>
      <c r="B7" s="56">
        <v>10.5</v>
      </c>
    </row>
    <row r="8" spans="1:2" x14ac:dyDescent="0.25">
      <c r="A8" s="55">
        <v>46302</v>
      </c>
      <c r="B8" s="56">
        <v>10.5</v>
      </c>
    </row>
    <row r="9" spans="1:2" x14ac:dyDescent="0.25">
      <c r="A9" s="55">
        <v>46303</v>
      </c>
      <c r="B9" s="56">
        <v>10.5</v>
      </c>
    </row>
    <row r="10" spans="1:2" x14ac:dyDescent="0.25">
      <c r="A10" s="55">
        <v>46304</v>
      </c>
      <c r="B10" s="56">
        <v>10.5</v>
      </c>
    </row>
    <row r="11" spans="1:2" x14ac:dyDescent="0.25">
      <c r="A11" s="55">
        <v>46305</v>
      </c>
      <c r="B11" s="56">
        <v>10.5</v>
      </c>
    </row>
    <row r="12" spans="1:2" x14ac:dyDescent="0.25">
      <c r="A12" s="55">
        <v>46306</v>
      </c>
      <c r="B12" s="56">
        <v>10.5</v>
      </c>
    </row>
    <row r="13" spans="1:2" x14ac:dyDescent="0.25">
      <c r="A13" s="55">
        <v>46307</v>
      </c>
      <c r="B13" s="56">
        <v>10.5</v>
      </c>
    </row>
    <row r="14" spans="1:2" x14ac:dyDescent="0.25">
      <c r="A14" s="55">
        <v>46308</v>
      </c>
      <c r="B14" s="56">
        <v>10.5</v>
      </c>
    </row>
    <row r="15" spans="1:2" x14ac:dyDescent="0.25">
      <c r="A15" s="55">
        <v>46309</v>
      </c>
      <c r="B15" s="56">
        <v>10.5</v>
      </c>
    </row>
    <row r="16" spans="1:2" x14ac:dyDescent="0.25">
      <c r="A16" s="55">
        <v>46310</v>
      </c>
      <c r="B16" s="56">
        <v>10.5</v>
      </c>
    </row>
    <row r="17" spans="1:2" x14ac:dyDescent="0.25">
      <c r="A17" s="55">
        <v>46311</v>
      </c>
      <c r="B17" s="56">
        <v>10.5</v>
      </c>
    </row>
    <row r="18" spans="1:2" x14ac:dyDescent="0.25">
      <c r="A18" s="55">
        <v>46312</v>
      </c>
      <c r="B18" s="56">
        <v>10.5</v>
      </c>
    </row>
    <row r="19" spans="1:2" x14ac:dyDescent="0.25">
      <c r="A19" s="55">
        <v>46313</v>
      </c>
      <c r="B19" s="56">
        <v>10.5</v>
      </c>
    </row>
    <row r="20" spans="1:2" x14ac:dyDescent="0.25">
      <c r="A20" s="55">
        <v>46314</v>
      </c>
      <c r="B20" s="56">
        <v>10.5</v>
      </c>
    </row>
    <row r="21" spans="1:2" x14ac:dyDescent="0.25">
      <c r="A21" s="55">
        <v>46315</v>
      </c>
      <c r="B21" s="56">
        <v>10.5</v>
      </c>
    </row>
    <row r="22" spans="1:2" x14ac:dyDescent="0.25">
      <c r="A22" s="55">
        <v>46316</v>
      </c>
      <c r="B22" s="56">
        <v>10.5</v>
      </c>
    </row>
    <row r="23" spans="1:2" x14ac:dyDescent="0.25">
      <c r="A23" s="55">
        <v>46317</v>
      </c>
      <c r="B23" s="56">
        <v>10.5</v>
      </c>
    </row>
    <row r="24" spans="1:2" x14ac:dyDescent="0.25">
      <c r="A24" s="55">
        <v>46318</v>
      </c>
      <c r="B24" s="56">
        <v>10.5</v>
      </c>
    </row>
    <row r="25" spans="1:2" x14ac:dyDescent="0.25">
      <c r="A25" s="55">
        <v>46319</v>
      </c>
      <c r="B25" s="56">
        <v>10.5</v>
      </c>
    </row>
    <row r="26" spans="1:2" x14ac:dyDescent="0.25">
      <c r="A26" s="55">
        <v>46320</v>
      </c>
      <c r="B26" s="56">
        <v>10.5</v>
      </c>
    </row>
    <row r="27" spans="1:2" x14ac:dyDescent="0.25">
      <c r="A27" s="55">
        <v>46321</v>
      </c>
      <c r="B27" s="56">
        <v>10.5</v>
      </c>
    </row>
    <row r="28" spans="1:2" x14ac:dyDescent="0.25">
      <c r="A28" s="55">
        <v>46322</v>
      </c>
      <c r="B28" s="56">
        <v>10.5</v>
      </c>
    </row>
    <row r="29" spans="1:2" x14ac:dyDescent="0.25">
      <c r="A29" s="55">
        <v>46323</v>
      </c>
      <c r="B29" s="56">
        <v>10.5</v>
      </c>
    </row>
    <row r="30" spans="1:2" x14ac:dyDescent="0.25">
      <c r="A30" s="55">
        <v>46324</v>
      </c>
      <c r="B30" s="56">
        <v>10.5</v>
      </c>
    </row>
    <row r="31" spans="1:2" x14ac:dyDescent="0.25">
      <c r="A31" s="55">
        <v>46325</v>
      </c>
      <c r="B31" s="56">
        <v>10.5</v>
      </c>
    </row>
    <row r="32" spans="1:2" x14ac:dyDescent="0.25">
      <c r="A32" s="55">
        <v>46326</v>
      </c>
      <c r="B32" s="56">
        <v>10.5</v>
      </c>
    </row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4" width="12" customWidth="1"/>
    <col min="5" max="5" width="2.2" customWidth="1"/>
    <col min="6" max="8" width="12" customWidth="1"/>
    <col min="9" max="9" width="2.2" customWidth="1"/>
    <col min="10" max="10" width="12" customWidth="1"/>
    <col min="12" max="12" width="12" customWidth="1"/>
    <col min="13" max="13" width="2.2" customWidth="1"/>
    <col min="14" max="22" width="12" customWidth="1"/>
  </cols>
  <sheetData>
    <row r="1" spans="1:21" x14ac:dyDescent="0.25">
      <c r="A1" s="28" t="s">
        <v>87</v>
      </c>
      <c r="B1" s="28"/>
      <c r="C1" s="28"/>
      <c r="D1" s="28"/>
      <c r="U1" s="29">
        <v>2026</v>
      </c>
    </row>
    <row r="2" spans="1:21" x14ac:dyDescent="0.25">
      <c r="A2" s="57" t="s">
        <v>51</v>
      </c>
      <c r="T2" s="58" t="s">
        <v>88</v>
      </c>
      <c r="U2" s="59" t="s">
        <v>52</v>
      </c>
    </row>
    <row r="3" spans="1:21" x14ac:dyDescent="0.25">
      <c r="B3" s="60" t="s">
        <v>89</v>
      </c>
      <c r="C3" s="60"/>
      <c r="D3" s="60"/>
      <c r="O3" s="61" t="s">
        <v>90</v>
      </c>
      <c r="P3" s="61"/>
      <c r="Q3" s="61"/>
      <c r="R3" s="61"/>
      <c r="S3" s="61"/>
      <c r="T3" s="61"/>
      <c r="U3" s="61"/>
    </row>
    <row r="4" spans="1:50" x14ac:dyDescent="0.25">
      <c r="A4" s="62" t="s">
        <v>53</v>
      </c>
      <c r="B4" s="63" t="s">
        <v>30</v>
      </c>
      <c r="C4" s="63"/>
      <c r="D4" s="63"/>
      <c r="F4" s="63" t="s">
        <v>91</v>
      </c>
      <c r="G4" s="63"/>
      <c r="H4" s="63"/>
      <c r="J4" s="64" t="s">
        <v>92</v>
      </c>
      <c r="K4" s="64"/>
      <c r="L4" s="64"/>
      <c r="O4" s="63" t="s">
        <v>30</v>
      </c>
      <c r="P4" s="63"/>
      <c r="Q4" s="63"/>
      <c r="S4" s="63" t="s">
        <v>91</v>
      </c>
      <c r="T4" s="63"/>
      <c r="U4" s="63"/>
    </row>
    <row r="5" spans="1:50" x14ac:dyDescent="0.25">
      <c r="A5" s="62"/>
      <c r="B5" s="65" t="s">
        <v>44</v>
      </c>
      <c r="C5" s="65" t="s">
        <v>45</v>
      </c>
      <c r="D5" s="65" t="s">
        <v>68</v>
      </c>
      <c r="F5" s="65" t="s">
        <v>44</v>
      </c>
      <c r="G5" s="65" t="s">
        <v>45</v>
      </c>
      <c r="H5" s="65" t="s">
        <v>68</v>
      </c>
      <c r="J5" s="65" t="s">
        <v>93</v>
      </c>
      <c r="K5" s="65" t="s">
        <v>92</v>
      </c>
      <c r="L5" s="65" t="s">
        <v>68</v>
      </c>
      <c r="O5" s="65" t="s">
        <v>44</v>
      </c>
      <c r="P5" s="65" t="s">
        <v>94</v>
      </c>
      <c r="Q5" s="65" t="s">
        <v>68</v>
      </c>
      <c r="S5" s="65" t="s">
        <v>44</v>
      </c>
      <c r="T5" s="65" t="s">
        <v>94</v>
      </c>
      <c r="U5" s="65" t="s">
        <v>68</v>
      </c>
    </row>
    <row r="6" spans="1:21" x14ac:dyDescent="0.25">
      <c r="A6" s="66" t="s">
        <v>77</v>
      </c>
      <c r="B6" s="67">
        <v>310</v>
      </c>
      <c r="C6" s="68">
        <v>12</v>
      </c>
      <c r="D6" s="69">
        <v>3720</v>
      </c>
      <c r="F6" s="67">
        <v>310</v>
      </c>
      <c r="G6" s="68">
        <v>12</v>
      </c>
      <c r="H6" s="69">
        <v>3720</v>
      </c>
      <c r="J6" s="70">
        <v>13.23</v>
      </c>
      <c r="K6" s="71">
        <v>-220</v>
      </c>
      <c r="L6" s="72">
        <v>0</v>
      </c>
      <c r="O6" s="73">
        <v>310</v>
      </c>
      <c r="P6" s="74">
        <v>1.23</v>
      </c>
      <c r="Q6" s="72">
        <v>381.3</v>
      </c>
      <c r="S6" s="73">
        <v>310</v>
      </c>
      <c r="T6" s="74">
        <v>1.23</v>
      </c>
      <c r="U6" s="72">
        <v>381.3</v>
      </c>
    </row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</sheetData>
  <mergeCells count="9">
    <mergeCell ref="A1:D1"/>
    <mergeCell ref="B3:D3"/>
    <mergeCell ref="O3:U3"/>
    <mergeCell ref="B4:D4"/>
    <mergeCell ref="F4:H4"/>
    <mergeCell ref="J4:L4"/>
    <mergeCell ref="O4:Q4"/>
    <mergeCell ref="S4:U4"/>
    <mergeCell ref="A4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0" x14ac:dyDescent="0.25">
      <c r="A1" s="75" t="s">
        <v>95</v>
      </c>
      <c r="B1" s="75"/>
      <c r="C1" s="75"/>
      <c r="D1" s="75"/>
      <c r="E1" s="75"/>
      <c r="F1" s="75"/>
      <c r="G1" s="75"/>
      <c r="H1" s="75"/>
      <c r="I1" s="75"/>
      <c r="K1" s="75" t="s">
        <v>96</v>
      </c>
      <c r="L1" s="75"/>
      <c r="M1" s="75"/>
      <c r="N1" s="75"/>
      <c r="O1" s="75"/>
      <c r="P1" s="75"/>
      <c r="Q1" s="75"/>
      <c r="R1" s="75"/>
      <c r="S1" s="75"/>
      <c r="T1" s="75"/>
    </row>
    <row r="2" spans="1:11" x14ac:dyDescent="0.25"/>
    <row r="4" spans="1:20" x14ac:dyDescent="0.25">
      <c r="A4" s="76" t="s">
        <v>97</v>
      </c>
      <c r="B4" s="76" t="s">
        <v>98</v>
      </c>
      <c r="C4" s="76" t="s">
        <v>99</v>
      </c>
      <c r="D4" s="76" t="s">
        <v>100</v>
      </c>
      <c r="E4" s="76" t="s">
        <v>101</v>
      </c>
      <c r="F4" s="76" t="s">
        <v>102</v>
      </c>
      <c r="G4" s="76" t="s">
        <v>103</v>
      </c>
      <c r="H4" s="76" t="s">
        <v>104</v>
      </c>
      <c r="I4" s="76" t="s">
        <v>105</v>
      </c>
      <c r="K4" s="76" t="s">
        <v>97</v>
      </c>
      <c r="L4" s="76" t="s">
        <v>98</v>
      </c>
      <c r="M4" s="76" t="s">
        <v>99</v>
      </c>
      <c r="N4" s="76" t="s">
        <v>100</v>
      </c>
      <c r="O4" s="76" t="s">
        <v>101</v>
      </c>
      <c r="P4" s="76" t="s">
        <v>102</v>
      </c>
      <c r="Q4" s="76" t="s">
        <v>103</v>
      </c>
      <c r="R4" s="76" t="s">
        <v>104</v>
      </c>
      <c r="S4" s="76" t="s">
        <v>105</v>
      </c>
      <c r="T4" s="76" t="s">
        <v>106</v>
      </c>
    </row>
    <row r="5" spans="1:20" x14ac:dyDescent="0.25">
      <c r="A5" s="77" t="s">
        <v>107</v>
      </c>
      <c r="B5" s="78"/>
      <c r="C5" s="78"/>
      <c r="D5" s="78"/>
      <c r="E5" s="78"/>
      <c r="F5" s="78"/>
      <c r="G5" s="78"/>
      <c r="H5" s="78"/>
      <c r="I5" s="79">
        <v>0</v>
      </c>
      <c r="K5" s="77" t="s">
        <v>107</v>
      </c>
      <c r="L5" s="78"/>
      <c r="M5" s="78"/>
      <c r="N5" s="78"/>
      <c r="O5" s="78"/>
      <c r="P5" s="78"/>
      <c r="Q5" s="78"/>
      <c r="R5" s="78"/>
      <c r="S5" s="80"/>
      <c r="T5" s="80"/>
    </row>
    <row r="6" spans="1:20" x14ac:dyDescent="0.25">
      <c r="A6" s="77" t="s">
        <v>108</v>
      </c>
      <c r="B6" s="78"/>
      <c r="C6" s="78"/>
      <c r="D6" s="78"/>
      <c r="E6" s="78"/>
      <c r="F6" s="78"/>
      <c r="G6" s="78"/>
      <c r="H6" s="78"/>
      <c r="I6" s="79">
        <v>0</v>
      </c>
      <c r="K6" s="77" t="s">
        <v>108</v>
      </c>
      <c r="L6" s="78"/>
      <c r="M6" s="78"/>
      <c r="N6" s="78"/>
      <c r="O6" s="78"/>
      <c r="P6" s="78"/>
      <c r="Q6" s="78"/>
      <c r="R6" s="78"/>
      <c r="S6" s="80"/>
      <c r="T6" s="80"/>
    </row>
    <row r="7" spans="1:20" x14ac:dyDescent="0.25">
      <c r="A7" s="77" t="s">
        <v>109</v>
      </c>
      <c r="B7" s="78"/>
      <c r="C7" s="78"/>
      <c r="D7" s="78"/>
      <c r="E7" s="80"/>
      <c r="F7" s="80"/>
      <c r="G7" s="80"/>
      <c r="H7" s="80"/>
      <c r="I7" s="79">
        <v>0</v>
      </c>
      <c r="K7" s="77" t="s">
        <v>109</v>
      </c>
      <c r="L7" s="78"/>
      <c r="M7" s="78"/>
      <c r="N7" s="78"/>
      <c r="O7" s="80"/>
      <c r="P7" s="80"/>
      <c r="Q7" s="80"/>
      <c r="R7" s="80"/>
      <c r="S7" s="80"/>
      <c r="T7" s="80"/>
    </row>
    <row r="8" spans="1:20" x14ac:dyDescent="0.25">
      <c r="A8" s="77" t="s">
        <v>110</v>
      </c>
      <c r="B8" s="80"/>
      <c r="C8" s="80"/>
      <c r="D8" s="80"/>
      <c r="E8" s="80"/>
      <c r="F8" s="80"/>
      <c r="G8" s="80"/>
      <c r="H8" s="81"/>
      <c r="I8" s="79">
        <v>0</v>
      </c>
      <c r="K8" s="77" t="s">
        <v>110</v>
      </c>
      <c r="L8" s="80"/>
      <c r="M8" s="80"/>
      <c r="N8" s="80"/>
      <c r="O8" s="80"/>
      <c r="P8" s="80"/>
      <c r="Q8" s="80"/>
      <c r="R8" s="81"/>
      <c r="S8" s="80"/>
      <c r="T8" s="80"/>
    </row>
    <row r="9" spans="1:20" x14ac:dyDescent="0.25">
      <c r="A9" s="77" t="s">
        <v>111</v>
      </c>
      <c r="B9" s="82">
        <v>0</v>
      </c>
      <c r="C9" s="82">
        <v>0</v>
      </c>
      <c r="D9" s="82">
        <v>0</v>
      </c>
      <c r="E9" s="82">
        <v>0</v>
      </c>
      <c r="F9" s="82">
        <v>0</v>
      </c>
      <c r="G9" s="82">
        <v>0</v>
      </c>
      <c r="H9" s="82">
        <v>0</v>
      </c>
      <c r="I9" s="79">
        <v>0</v>
      </c>
      <c r="K9" s="77" t="s">
        <v>111</v>
      </c>
      <c r="L9" s="82">
        <v>0</v>
      </c>
      <c r="M9" s="82">
        <v>0</v>
      </c>
      <c r="N9" s="82">
        <v>0</v>
      </c>
      <c r="O9" s="82">
        <v>0</v>
      </c>
      <c r="P9" s="82">
        <v>0</v>
      </c>
      <c r="Q9" s="82">
        <v>0</v>
      </c>
      <c r="R9" s="82">
        <v>0</v>
      </c>
      <c r="S9" s="79">
        <v>0</v>
      </c>
      <c r="T9" s="80"/>
    </row>
    <row r="10" spans="1:20" x14ac:dyDescent="0.25">
      <c r="A10" s="77" t="s">
        <v>112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79">
        <v>0</v>
      </c>
      <c r="K10" s="77" t="s">
        <v>112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79">
        <v>0</v>
      </c>
      <c r="T10" s="80"/>
    </row>
    <row r="11" spans="1:20" x14ac:dyDescent="0.25">
      <c r="A11" s="77" t="s">
        <v>113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0"/>
      <c r="I11" s="79">
        <v>0</v>
      </c>
      <c r="K11" s="77" t="s">
        <v>113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0"/>
      <c r="S11" s="79">
        <v>0</v>
      </c>
      <c r="T11" s="80"/>
    </row>
    <row r="12" spans="1:20" x14ac:dyDescent="0.25">
      <c r="A12" s="83" t="s">
        <v>114</v>
      </c>
      <c r="B12" s="84"/>
      <c r="C12" s="84"/>
      <c r="D12" s="84"/>
      <c r="E12" s="84"/>
      <c r="F12" s="84"/>
      <c r="G12" s="84"/>
      <c r="H12" s="84"/>
      <c r="I12" s="85">
        <v>0</v>
      </c>
      <c r="K12" s="83" t="s">
        <v>114</v>
      </c>
      <c r="L12" s="84"/>
      <c r="M12" s="84"/>
      <c r="N12" s="84"/>
      <c r="O12" s="84"/>
      <c r="P12" s="84"/>
      <c r="Q12" s="84"/>
      <c r="R12" s="84"/>
      <c r="S12" s="84"/>
      <c r="T12" s="84"/>
    </row>
    <row r="13" spans="1:20" x14ac:dyDescent="0.25">
      <c r="A13" s="83" t="s">
        <v>115</v>
      </c>
      <c r="B13" s="79">
        <v>0</v>
      </c>
      <c r="C13" s="79">
        <v>0</v>
      </c>
      <c r="D13" s="79">
        <v>0</v>
      </c>
      <c r="E13" s="79">
        <v>0</v>
      </c>
      <c r="F13" s="79">
        <v>0</v>
      </c>
      <c r="G13" s="79">
        <v>0</v>
      </c>
      <c r="H13" s="79">
        <v>0</v>
      </c>
      <c r="I13" s="79">
        <v>0</v>
      </c>
      <c r="K13" s="83" t="s">
        <v>115</v>
      </c>
      <c r="L13" s="86">
        <v>0</v>
      </c>
      <c r="M13" s="86">
        <v>0</v>
      </c>
      <c r="N13" s="86">
        <v>0</v>
      </c>
      <c r="O13" s="86">
        <v>0</v>
      </c>
      <c r="P13" s="86">
        <v>0</v>
      </c>
      <c r="Q13" s="86">
        <v>0</v>
      </c>
      <c r="R13" s="86">
        <v>0</v>
      </c>
      <c r="S13" s="79">
        <v>0</v>
      </c>
      <c r="T13" s="80"/>
    </row>
    <row r="14" spans="1:20" x14ac:dyDescent="0.25">
      <c r="A14" s="83"/>
      <c r="B14" s="80"/>
      <c r="C14" s="80"/>
      <c r="D14" s="80"/>
      <c r="E14" s="80"/>
      <c r="F14" s="80"/>
      <c r="G14" s="80"/>
      <c r="H14" s="80"/>
      <c r="I14" s="80"/>
      <c r="K14" s="83" t="s">
        <v>83</v>
      </c>
      <c r="L14" s="80"/>
      <c r="M14" s="80"/>
      <c r="N14" s="80"/>
      <c r="O14" s="80"/>
      <c r="P14" s="80"/>
      <c r="Q14" s="80"/>
      <c r="R14" s="80"/>
      <c r="S14" s="86">
        <v>0</v>
      </c>
      <c r="T14" s="80"/>
    </row>
    <row r="15" spans="1:20" x14ac:dyDescent="0.25">
      <c r="A15" s="83" t="s">
        <v>116</v>
      </c>
      <c r="B15" s="80"/>
      <c r="C15" s="80"/>
      <c r="D15" s="80"/>
      <c r="E15" s="80"/>
      <c r="F15" s="80"/>
      <c r="G15" s="80"/>
      <c r="H15" s="80"/>
      <c r="I15" s="79">
        <v>0</v>
      </c>
      <c r="K15" s="83" t="s">
        <v>116</v>
      </c>
      <c r="L15" s="80"/>
      <c r="M15" s="80"/>
      <c r="N15" s="80"/>
      <c r="O15" s="80"/>
      <c r="P15" s="80"/>
      <c r="Q15" s="80"/>
      <c r="R15" s="80"/>
      <c r="S15" s="86">
        <v>0</v>
      </c>
      <c r="T15" s="80"/>
    </row>
    <row r="16" spans="1:20" x14ac:dyDescent="0.25">
      <c r="A16" s="87" t="s">
        <v>84</v>
      </c>
      <c r="B16" s="88">
        <v>0</v>
      </c>
      <c r="C16" s="88">
        <v>0</v>
      </c>
      <c r="D16" s="88">
        <v>0</v>
      </c>
      <c r="E16" s="88">
        <v>0</v>
      </c>
      <c r="F16" s="88">
        <v>0</v>
      </c>
      <c r="G16" s="88">
        <v>0</v>
      </c>
      <c r="H16" s="88">
        <v>0</v>
      </c>
      <c r="I16" s="88">
        <v>0</v>
      </c>
      <c r="K16" s="87" t="s">
        <v>84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7"/>
    </row>
  </sheetData>
  <mergeCells count="2">
    <mergeCell ref="A1:I1"/>
    <mergeCell ref="K1:T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0" width="11" customWidth="1"/>
  </cols>
  <sheetData>
    <row r="1" spans="1:20" x14ac:dyDescent="0.25">
      <c r="A1" s="90" t="s">
        <v>117</v>
      </c>
    </row>
    <row r="2" spans="1:20" x14ac:dyDescent="0.25"/>
    <row r="3" spans="1:20" x14ac:dyDescent="0.25"/>
    <row r="4" spans="1:20" x14ac:dyDescent="0.25"/>
    <row r="5" spans="1:20" x14ac:dyDescent="0.25"/>
    <row r="6" spans="1:20" x14ac:dyDescent="0.25">
      <c r="A6" s="91" t="s">
        <v>118</v>
      </c>
      <c r="B6" s="91" t="s">
        <v>119</v>
      </c>
      <c r="C6" s="91"/>
      <c r="D6" s="91"/>
      <c r="E6" s="91" t="s">
        <v>120</v>
      </c>
      <c r="F6" s="91"/>
      <c r="G6" s="91"/>
      <c r="H6" s="91" t="s">
        <v>121</v>
      </c>
      <c r="I6" s="91" t="s">
        <v>21</v>
      </c>
      <c r="J6" s="91"/>
      <c r="K6" s="91" t="s">
        <v>122</v>
      </c>
      <c r="L6" s="91"/>
      <c r="M6" s="91" t="s">
        <v>123</v>
      </c>
      <c r="N6" s="91"/>
      <c r="O6" s="91" t="s">
        <v>124</v>
      </c>
      <c r="P6" s="91"/>
      <c r="Q6" s="91"/>
      <c r="R6" s="91"/>
      <c r="S6" s="91" t="s">
        <v>125</v>
      </c>
      <c r="T6" s="91"/>
    </row>
    <row r="7" spans="1:20" x14ac:dyDescent="0.25">
      <c r="A7" s="91" t="s">
        <v>118</v>
      </c>
      <c r="B7" s="91" t="s">
        <v>126</v>
      </c>
      <c r="C7" s="91" t="s">
        <v>127</v>
      </c>
      <c r="D7" s="91" t="s">
        <v>128</v>
      </c>
      <c r="E7" s="91" t="s">
        <v>129</v>
      </c>
      <c r="F7" s="91" t="s">
        <v>130</v>
      </c>
      <c r="G7" s="91" t="s">
        <v>131</v>
      </c>
      <c r="H7" s="91" t="s">
        <v>132</v>
      </c>
      <c r="I7" s="91" t="s">
        <v>133</v>
      </c>
      <c r="J7" s="91" t="s">
        <v>134</v>
      </c>
      <c r="K7" s="91" t="s">
        <v>135</v>
      </c>
      <c r="L7" s="91" t="s">
        <v>136</v>
      </c>
      <c r="M7" s="91" t="s">
        <v>137</v>
      </c>
      <c r="N7" s="91" t="s">
        <v>138</v>
      </c>
      <c r="O7" s="91" t="s">
        <v>139</v>
      </c>
      <c r="P7" s="91" t="s">
        <v>140</v>
      </c>
      <c r="Q7" s="91" t="s">
        <v>141</v>
      </c>
      <c r="R7" s="91" t="s">
        <v>13</v>
      </c>
      <c r="S7" s="91" t="s">
        <v>142</v>
      </c>
      <c r="T7" s="91" t="s">
        <v>143</v>
      </c>
    </row>
    <row r="8" spans="1:20" x14ac:dyDescent="0.25">
      <c r="A8" s="92"/>
      <c r="B8" s="92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</row>
    <row r="9" spans="1:20" x14ac:dyDescent="0.25">
      <c r="A9" s="93" t="s">
        <v>79</v>
      </c>
      <c r="B9" s="94">
        <v>10</v>
      </c>
      <c r="C9" s="95">
        <v>1</v>
      </c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</row>
    <row r="10" spans="1:20" x14ac:dyDescent="0.25">
      <c r="A10" s="92"/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</row>
    <row r="11" spans="1:20" x14ac:dyDescent="0.25">
      <c r="A11" s="92"/>
      <c r="B11" s="92"/>
      <c r="C11" s="92"/>
      <c r="D11" s="92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</row>
    <row r="12" spans="1:20" x14ac:dyDescent="0.25">
      <c r="A12" s="92"/>
      <c r="B12" s="92"/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</row>
    <row r="13" spans="1:20" x14ac:dyDescent="0.25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</row>
    <row r="14" spans="1:20" x14ac:dyDescent="0.25">
      <c r="A14" s="92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</row>
    <row r="15" spans="1:20" x14ac:dyDescent="0.25">
      <c r="A15" s="92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</row>
    <row r="16" spans="1:20" x14ac:dyDescent="0.25">
      <c r="A16" s="92"/>
      <c r="B16" s="92"/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</row>
    <row r="17" spans="1:20" x14ac:dyDescent="0.25">
      <c r="A17" s="92"/>
      <c r="B17" s="92"/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</row>
    <row r="18" spans="1:20" x14ac:dyDescent="0.25">
      <c r="A18" s="92"/>
      <c r="B18" s="92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</row>
    <row r="19" spans="1:20" x14ac:dyDescent="0.25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</row>
    <row r="20" spans="1:20" x14ac:dyDescent="0.25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</row>
    <row r="21" spans="1:20" x14ac:dyDescent="0.25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</row>
    <row r="22" spans="1:20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</row>
    <row r="23" spans="1:20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</row>
    <row r="24" spans="1:20" x14ac:dyDescent="0.25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</row>
    <row r="25" spans="1:20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</row>
    <row r="26" spans="1:20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</row>
    <row r="27" spans="1:20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</row>
    <row r="28" spans="1:20" x14ac:dyDescent="0.25">
      <c r="A28" s="91" t="s">
        <v>118</v>
      </c>
      <c r="B28" s="91" t="s">
        <v>126</v>
      </c>
      <c r="C28" s="91" t="s">
        <v>127</v>
      </c>
      <c r="D28" s="91" t="s">
        <v>128</v>
      </c>
      <c r="E28" s="91" t="s">
        <v>129</v>
      </c>
      <c r="F28" s="91" t="s">
        <v>130</v>
      </c>
      <c r="G28" s="91" t="s">
        <v>131</v>
      </c>
      <c r="H28" s="91" t="s">
        <v>132</v>
      </c>
      <c r="I28" s="91" t="s">
        <v>133</v>
      </c>
      <c r="J28" s="91" t="s">
        <v>134</v>
      </c>
      <c r="K28" s="91" t="s">
        <v>135</v>
      </c>
      <c r="L28" s="91" t="s">
        <v>136</v>
      </c>
      <c r="M28" s="91" t="s">
        <v>137</v>
      </c>
      <c r="N28" s="91" t="s">
        <v>138</v>
      </c>
      <c r="O28" s="91" t="s">
        <v>139</v>
      </c>
      <c r="P28" s="91" t="s">
        <v>140</v>
      </c>
      <c r="Q28" s="91" t="s">
        <v>141</v>
      </c>
      <c r="R28" s="91" t="s">
        <v>13</v>
      </c>
      <c r="S28" s="91" t="s">
        <v>142</v>
      </c>
      <c r="T28" s="91" t="s">
        <v>143</v>
      </c>
    </row>
    <row r="29" spans="1:20" x14ac:dyDescent="0.25">
      <c r="A29" s="83" t="s">
        <v>144</v>
      </c>
      <c r="B29" s="94">
        <f>Pronostico!$I$16</f>
      </c>
      <c r="C29" s="95">
        <f>$C$9</f>
      </c>
      <c r="D29" s="95">
        <f>Pronostico!$T$16</f>
      </c>
      <c r="E29" s="95">
        <f>IF(B29=0,0,E$9*$B$9/B29)</f>
      </c>
      <c r="F29" s="95">
        <f>$F$9</f>
      </c>
      <c r="G29" s="92"/>
      <c r="H29" s="92"/>
      <c r="I29" s="96">
        <f>IF(B29=0,0,I$9*$B$9/B29)</f>
      </c>
      <c r="J29" s="95">
        <f>IF(B29=0,0,J$9*$B$9/B29)</f>
      </c>
      <c r="K29" s="92"/>
      <c r="L29" s="92"/>
      <c r="M29" s="95">
        <f>IF(B29=0,0,M$9*$B$9/B29)</f>
      </c>
      <c r="N29" s="97">
        <f>IF(B29=0,0,N$9*$B$9/B29)</f>
      </c>
      <c r="O29" s="95">
        <f>IF(B29=0,0,O$9*$B$9/B29)</f>
      </c>
      <c r="P29" s="95">
        <f>IF(B29=0,0,P$9*$B$9/B29)</f>
      </c>
      <c r="Q29" s="92"/>
      <c r="R29" s="92"/>
      <c r="S29" s="92"/>
      <c r="T29" s="92"/>
    </row>
    <row r="30" spans="1:20" x14ac:dyDescent="0.25">
      <c r="A30" s="98" t="s">
        <v>145</v>
      </c>
      <c r="B30" s="99">
        <f>SUM(B29:B29)</f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</row>
  </sheetData>
  <mergeCells count="7">
    <mergeCell ref="B6:D6"/>
    <mergeCell ref="E6:G6"/>
    <mergeCell ref="I6:J6"/>
    <mergeCell ref="K6:L6"/>
    <mergeCell ref="M6:N6"/>
    <mergeCell ref="O6:R6"/>
    <mergeCell ref="S6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147</v>
      </c>
      <c r="C1" s="100" t="s">
        <v>148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122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155</v>
      </c>
      <c r="C1" s="100" t="s">
        <v>156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122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157</v>
      </c>
      <c r="C1" s="100" t="s">
        <v>158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122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159</v>
      </c>
      <c r="C1" s="100" t="s">
        <v>160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122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6" width="14" customWidth="1"/>
  </cols>
  <sheetData>
    <row r="1" spans="1:6" x14ac:dyDescent="0.25">
      <c r="A1" s="100" t="s">
        <v>146</v>
      </c>
      <c r="B1" s="100" t="s">
        <v>161</v>
      </c>
      <c r="C1" s="100" t="s">
        <v>162</v>
      </c>
      <c r="D1" s="100"/>
      <c r="E1" s="100"/>
      <c r="F1" s="100"/>
    </row>
    <row r="2" spans="1:6" x14ac:dyDescent="0.25">
      <c r="A2" s="100" t="s">
        <v>149</v>
      </c>
      <c r="B2" s="100"/>
      <c r="C2" s="100"/>
      <c r="D2" s="100"/>
      <c r="E2" s="100"/>
      <c r="F2" s="100"/>
    </row>
    <row r="3" spans="1:6" x14ac:dyDescent="0.25">
      <c r="A3" s="100"/>
      <c r="B3" s="100"/>
      <c r="C3" s="100"/>
      <c r="D3" s="100"/>
      <c r="E3" s="100"/>
      <c r="F3" s="100"/>
    </row>
    <row r="4" spans="1:6" x14ac:dyDescent="0.25">
      <c r="A4" s="46" t="s">
        <v>122</v>
      </c>
      <c r="B4" s="46" t="s">
        <v>150</v>
      </c>
      <c r="C4" s="46" t="s">
        <v>151</v>
      </c>
      <c r="D4" s="46" t="s">
        <v>152</v>
      </c>
      <c r="E4" s="46" t="s">
        <v>153</v>
      </c>
      <c r="F4" s="46" t="s">
        <v>154</v>
      </c>
    </row>
    <row r="5" spans="1:6" x14ac:dyDescent="0.25">
      <c r="A5" s="51" t="s">
        <v>79</v>
      </c>
      <c r="B5" s="51"/>
      <c r="C5" s="51"/>
      <c r="D5" s="51">
        <v>0</v>
      </c>
      <c r="E5" s="51">
        <v>-7</v>
      </c>
      <c r="F5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7" width="18" customWidth="1"/>
    <col min="8" max="8" width="16" customWidth="1"/>
    <col min="9" max="9" width="22" customWidth="1"/>
  </cols>
  <sheetData>
    <row r="1" spans="1:9" x14ac:dyDescent="0.25">
      <c r="A1" s="100" t="s">
        <v>163</v>
      </c>
      <c r="B1" s="100" t="s">
        <v>164</v>
      </c>
      <c r="C1" s="100" t="s">
        <v>165</v>
      </c>
      <c r="D1" s="100"/>
      <c r="E1" s="100"/>
      <c r="F1" s="100"/>
      <c r="G1" s="100"/>
      <c r="H1" s="100"/>
      <c r="I1" s="100"/>
    </row>
    <row r="2" spans="1:9" x14ac:dyDescent="0.25">
      <c r="A2" s="100" t="s">
        <v>166</v>
      </c>
      <c r="B2" s="100"/>
      <c r="C2" s="100"/>
      <c r="D2" s="100"/>
      <c r="E2" s="100"/>
      <c r="F2" s="100"/>
      <c r="G2" s="100"/>
      <c r="H2" s="100"/>
      <c r="I2" s="100"/>
    </row>
    <row r="3" spans="1:9" x14ac:dyDescent="0.25">
      <c r="A3" s="100" t="s">
        <v>167</v>
      </c>
      <c r="B3" s="100"/>
      <c r="C3" s="100"/>
      <c r="D3" s="100"/>
      <c r="E3" s="100"/>
      <c r="F3" s="100"/>
      <c r="G3" s="100"/>
      <c r="H3" s="100"/>
      <c r="I3" s="100"/>
    </row>
    <row r="4" spans="1:9" x14ac:dyDescent="0.25">
      <c r="A4" s="100" t="s">
        <v>168</v>
      </c>
      <c r="B4" s="100"/>
      <c r="C4" s="100"/>
      <c r="D4" s="100"/>
      <c r="E4" s="100"/>
      <c r="F4" s="100"/>
      <c r="G4" s="100"/>
      <c r="H4" s="100"/>
      <c r="I4" s="100"/>
    </row>
    <row r="6" spans="1:9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171</v>
      </c>
      <c r="G6" s="46" t="s">
        <v>172</v>
      </c>
      <c r="H6" s="46" t="s">
        <v>173</v>
      </c>
      <c r="I6" s="46" t="s">
        <v>174</v>
      </c>
    </row>
    <row r="7" spans="1:9" x14ac:dyDescent="0.25">
      <c r="A7" s="51" t="s">
        <v>175</v>
      </c>
      <c r="B7" s="51"/>
      <c r="C7" s="51"/>
      <c r="D7" s="51"/>
      <c r="E7" s="101">
        <v>0</v>
      </c>
      <c r="F7" s="101">
        <v>0</v>
      </c>
      <c r="G7" s="102">
        <v>0</v>
      </c>
      <c r="H7" s="51"/>
      <c r="I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177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178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179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180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181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182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183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184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185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186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187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188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189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190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191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192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16" customWidth="1"/>
    <col min="4" max="4" width="18" customWidth="1"/>
    <col min="5" max="5" width="14" customWidth="1"/>
    <col min="6" max="6" width="18" customWidth="1"/>
    <col min="7" max="7" width="16" customWidth="1"/>
    <col min="8" max="8" width="22" customWidth="1"/>
  </cols>
  <sheetData>
    <row r="1" spans="1:8" x14ac:dyDescent="0.25">
      <c r="A1" s="100" t="s">
        <v>176</v>
      </c>
      <c r="B1" s="100" t="s">
        <v>193</v>
      </c>
      <c r="C1" s="100" t="s">
        <v>165</v>
      </c>
      <c r="D1" s="100"/>
      <c r="E1" s="100"/>
      <c r="F1" s="100"/>
      <c r="G1" s="100"/>
      <c r="H1" s="100"/>
    </row>
    <row r="2" spans="1:8" x14ac:dyDescent="0.25">
      <c r="A2" s="100" t="s">
        <v>166</v>
      </c>
      <c r="B2" s="100"/>
      <c r="C2" s="100"/>
      <c r="D2" s="100"/>
      <c r="E2" s="100"/>
      <c r="F2" s="100"/>
      <c r="G2" s="100"/>
      <c r="H2" s="100"/>
    </row>
    <row r="3" spans="1:8" x14ac:dyDescent="0.25">
      <c r="A3" s="100" t="s">
        <v>194</v>
      </c>
      <c r="B3" s="100"/>
      <c r="C3" s="100"/>
      <c r="D3" s="100"/>
      <c r="E3" s="100"/>
      <c r="F3" s="100"/>
      <c r="G3" s="100"/>
      <c r="H3" s="100"/>
    </row>
    <row r="4" spans="1:8" x14ac:dyDescent="0.25">
      <c r="A4" s="100" t="s">
        <v>168</v>
      </c>
      <c r="B4" s="100"/>
      <c r="C4" s="100"/>
      <c r="D4" s="100"/>
      <c r="E4" s="100"/>
      <c r="F4" s="100"/>
      <c r="G4" s="100"/>
      <c r="H4" s="100"/>
    </row>
    <row r="6" spans="1:8" x14ac:dyDescent="0.25">
      <c r="A6" s="46" t="s">
        <v>122</v>
      </c>
      <c r="B6" s="46" t="s">
        <v>169</v>
      </c>
      <c r="C6" s="46" t="s">
        <v>150</v>
      </c>
      <c r="D6" s="46" t="s">
        <v>151</v>
      </c>
      <c r="E6" s="46" t="s">
        <v>170</v>
      </c>
      <c r="F6" s="46" t="s">
        <v>172</v>
      </c>
      <c r="G6" s="46" t="s">
        <v>173</v>
      </c>
      <c r="H6" s="46" t="s">
        <v>174</v>
      </c>
    </row>
    <row r="7" spans="1:8" x14ac:dyDescent="0.25">
      <c r="A7" s="51" t="s">
        <v>175</v>
      </c>
      <c r="B7" s="51"/>
      <c r="C7" s="51"/>
      <c r="D7" s="51"/>
      <c r="E7" s="101">
        <v>0</v>
      </c>
      <c r="F7" s="102">
        <v>0</v>
      </c>
      <c r="G7" s="51"/>
      <c r="H7" s="5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RESUMEN</vt:lpstr>
      <vt:lpstr>DatosPlanta</vt:lpstr>
      <vt:lpstr>IGF Diario San Luis</vt:lpstr>
      <vt:lpstr>Provincia Venta Diaria</vt:lpstr>
      <vt:lpstr>Provincia Comisiones</vt:lpstr>
      <vt:lpstr>PRECIO</vt:lpstr>
      <vt:lpstr>CONTROL DE COMPRAS</vt:lpstr>
      <vt:lpstr>Pronostico</vt:lpstr>
      <vt:lpstr>IGF Forecast</vt:lpstr>
      <vt:lpstr>Enero</vt:lpstr>
      <vt:lpstr>Febrero</vt:lpstr>
      <vt:lpstr>Marzo</vt:lpstr>
      <vt:lpstr>Abril</vt:lpstr>
      <vt:lpstr>Mayo</vt:lpstr>
      <vt:lpstr>Clientes desc mes</vt:lpstr>
      <vt:lpstr>Clientes desc Enero</vt:lpstr>
      <vt:lpstr>Clientes desc Febrero</vt:lpstr>
      <vt:lpstr>Clientes desc Marzo</vt:lpstr>
      <vt:lpstr>Clientes desc Abril</vt:lpstr>
      <vt:lpstr>Clientes desc Mayo</vt:lpstr>
      <vt:lpstr>Clientes desc Junio</vt:lpstr>
      <vt:lpstr>Clientes desc Julio</vt:lpstr>
      <vt:lpstr>Clientes desc Agosto</vt:lpstr>
      <vt:lpstr>Clientes desc Septiembre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folio-whatsapp-bot</dc:creator>
  <dc:title/>
  <dc:subject/>
  <dc:description/>
  <cp:keywords/>
  <cp:category/>
  <cp:lastModifiedBy>Unknown</cp:lastModifiedBy>
  <dcterms:created xsi:type="dcterms:W3CDTF">2026-10-13T23:56:51Z</dcterms:created>
  <dcterms:modified xsi:type="dcterms:W3CDTF">2026-10-13T23:56:51Z</dcterms:modified>
</cp:coreProperties>
</file>